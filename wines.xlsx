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ino/Desktop/"/>
    </mc:Choice>
  </mc:AlternateContent>
  <xr:revisionPtr revIDLastSave="0" documentId="13_ncr:1_{F49939CD-F651-614E-B2C7-EC7EA97D9E7B}" xr6:coauthVersionLast="47" xr6:coauthVersionMax="47" xr10:uidLastSave="{00000000-0000-0000-0000-000000000000}"/>
  <bookViews>
    <workbookView xWindow="0" yWindow="760" windowWidth="29400" windowHeight="17060" xr2:uid="{A5233C95-14B7-5A43-979A-1DFBA2072485}"/>
  </bookViews>
  <sheets>
    <sheet name="Лист1" sheetId="1" r:id="rId1"/>
  </sheets>
  <definedNames>
    <definedName name="_xlnm._FilterDatabase" localSheetId="0" hidden="1">Лист1!$A$1:$I$155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2" i="1" l="1"/>
  <c r="E211" i="1"/>
  <c r="E210" i="1"/>
  <c r="E209" i="1"/>
  <c r="E207" i="1"/>
  <c r="E205" i="1"/>
  <c r="E203" i="1"/>
  <c r="E202" i="1"/>
  <c r="E197" i="1" l="1"/>
  <c r="E196" i="1"/>
  <c r="E192" i="1"/>
  <c r="E191" i="1"/>
  <c r="E190" i="1"/>
  <c r="E189" i="1"/>
  <c r="E188" i="1"/>
  <c r="E186" i="1"/>
  <c r="E185" i="1"/>
  <c r="E184" i="1"/>
  <c r="E183" i="1"/>
  <c r="E180" i="1"/>
  <c r="E179" i="1"/>
  <c r="E177" i="1"/>
  <c r="E176" i="1"/>
  <c r="E174" i="1"/>
  <c r="E173" i="1"/>
  <c r="E172" i="1"/>
  <c r="E171" i="1"/>
  <c r="E169" i="1"/>
  <c r="E168" i="1"/>
  <c r="E167" i="1"/>
  <c r="E166" i="1"/>
  <c r="E165" i="1"/>
  <c r="E162" i="1"/>
  <c r="E160" i="1"/>
  <c r="E158" i="1"/>
  <c r="E157" i="1"/>
  <c r="E154" i="1"/>
  <c r="E152" i="1"/>
  <c r="E150" i="1"/>
  <c r="E149" i="1"/>
  <c r="E144" i="1"/>
  <c r="E143" i="1"/>
  <c r="E142" i="1"/>
  <c r="E140" i="1"/>
  <c r="E139" i="1"/>
  <c r="E137" i="1"/>
  <c r="E136" i="1"/>
  <c r="E129" i="1"/>
  <c r="E125" i="1"/>
  <c r="E124" i="1"/>
  <c r="E121" i="1"/>
  <c r="E120" i="1"/>
  <c r="E119" i="1"/>
  <c r="E118" i="1"/>
  <c r="E117" i="1"/>
  <c r="E116" i="1"/>
  <c r="E106" i="1"/>
  <c r="E112" i="1"/>
  <c r="E111" i="1"/>
  <c r="E110" i="1"/>
  <c r="E105" i="1"/>
  <c r="E104" i="1"/>
  <c r="E103" i="1"/>
  <c r="E101" i="1"/>
  <c r="E99" i="1"/>
  <c r="E96" i="1"/>
  <c r="E95" i="1"/>
  <c r="E93" i="1"/>
  <c r="E92" i="1"/>
  <c r="E91" i="1"/>
  <c r="E89" i="1"/>
  <c r="E88" i="1"/>
  <c r="E86" i="1"/>
  <c r="E85" i="1"/>
  <c r="E84" i="1"/>
  <c r="E83" i="1"/>
  <c r="E82" i="1"/>
  <c r="E81" i="1"/>
  <c r="E77" i="1"/>
  <c r="E76" i="1"/>
  <c r="E75" i="1"/>
  <c r="E74" i="1"/>
  <c r="E72" i="1"/>
  <c r="E71" i="1"/>
  <c r="E70" i="1"/>
  <c r="E69" i="1"/>
  <c r="E68" i="1"/>
  <c r="E67" i="1"/>
  <c r="E66" i="1"/>
  <c r="E65" i="1"/>
  <c r="E64" i="1"/>
  <c r="E63" i="1"/>
  <c r="E46" i="1"/>
  <c r="E45" i="1"/>
  <c r="E62" i="1"/>
  <c r="E61" i="1"/>
  <c r="E59" i="1"/>
  <c r="E58" i="1"/>
  <c r="E53" i="1"/>
  <c r="E52" i="1"/>
  <c r="E51" i="1"/>
  <c r="E50" i="1"/>
  <c r="E49" i="1"/>
  <c r="E48" i="1"/>
  <c r="E47" i="1"/>
  <c r="E44" i="1"/>
  <c r="E43" i="1"/>
  <c r="E40" i="1"/>
  <c r="E39" i="1"/>
  <c r="E38" i="1"/>
  <c r="E37" i="1"/>
  <c r="E33" i="1"/>
  <c r="E29" i="1"/>
  <c r="E28" i="1"/>
  <c r="E31" i="1"/>
  <c r="E32" i="1"/>
  <c r="E30" i="1"/>
  <c r="E27" i="1"/>
  <c r="E26" i="1"/>
  <c r="E24" i="1"/>
  <c r="E23" i="1"/>
  <c r="E22" i="1"/>
  <c r="E20" i="1"/>
  <c r="E13" i="1"/>
  <c r="E11" i="1"/>
  <c r="E10" i="1"/>
  <c r="E7" i="1"/>
  <c r="E5" i="1"/>
  <c r="E4" i="1"/>
</calcChain>
</file>

<file path=xl/sharedStrings.xml><?xml version="1.0" encoding="utf-8"?>
<sst xmlns="http://schemas.openxmlformats.org/spreadsheetml/2006/main" count="637" uniqueCount="381">
  <si>
    <t>By the glass</t>
  </si>
  <si>
    <t>Champagne</t>
  </si>
  <si>
    <t>NV</t>
  </si>
  <si>
    <t>Réserve Extra Brut</t>
  </si>
  <si>
    <t>THIERRY FOURNIER</t>
  </si>
  <si>
    <t>Год</t>
  </si>
  <si>
    <t>Наименование</t>
  </si>
  <si>
    <t>Производитель</t>
  </si>
  <si>
    <t xml:space="preserve">Цена база </t>
  </si>
  <si>
    <t xml:space="preserve">Цена закуп </t>
  </si>
  <si>
    <t xml:space="preserve">Цена бокала </t>
  </si>
  <si>
    <t>Поставщик</t>
  </si>
  <si>
    <t>А Ля воле</t>
  </si>
  <si>
    <t>JULES PIERLOT</t>
  </si>
  <si>
    <t>РВК</t>
  </si>
  <si>
    <t>JULES PIERLOT brut</t>
  </si>
  <si>
    <t>Special Cuvee Brut</t>
  </si>
  <si>
    <t>Bollinger</t>
  </si>
  <si>
    <t>ДП</t>
  </si>
  <si>
    <t>PHILIPPE GLAVIER</t>
  </si>
  <si>
    <t>Cramant Idylle Céleste Grand Cru Rosé Brut</t>
  </si>
  <si>
    <t>Rose</t>
  </si>
  <si>
    <t>Kuhling-Gillot</t>
  </si>
  <si>
    <t>Qvinterra Riesling Trocken Rheinhessen</t>
  </si>
  <si>
    <t xml:space="preserve">Chardonnay </t>
  </si>
  <si>
    <t>Mantra Estate</t>
  </si>
  <si>
    <t>MARCIO LOPES</t>
  </si>
  <si>
    <t>Soave Classico</t>
  </si>
  <si>
    <t>Pieropan</t>
  </si>
  <si>
    <t>Симпл</t>
  </si>
  <si>
    <t>Файн</t>
  </si>
  <si>
    <t>Vincent Girardin</t>
  </si>
  <si>
    <t>Коравин</t>
  </si>
  <si>
    <t>Savigny-les-Beaune Les Vieilles Vignes</t>
  </si>
  <si>
    <t>АСТ</t>
  </si>
  <si>
    <t>Rose and Amber</t>
  </si>
  <si>
    <t>Frank Cornelissen</t>
  </si>
  <si>
    <t>Susucaru Rosato</t>
  </si>
  <si>
    <t>Altolandon</t>
  </si>
  <si>
    <t xml:space="preserve">Enrosado Orange </t>
  </si>
  <si>
    <t>Винотерра</t>
  </si>
  <si>
    <t>Catena Zapata</t>
  </si>
  <si>
    <t>Domaine de Nerleux</t>
  </si>
  <si>
    <t>Saumur Champigny</t>
  </si>
  <si>
    <t>Tenacity Shiraz</t>
  </si>
  <si>
    <t>Two Hands</t>
  </si>
  <si>
    <t>Mon rouge</t>
  </si>
  <si>
    <t>Jean-François Ganevat</t>
  </si>
  <si>
    <t xml:space="preserve">ENVINATE </t>
  </si>
  <si>
    <t>Migan Tinto</t>
  </si>
  <si>
    <t>Michel Magnien</t>
  </si>
  <si>
    <t>Gevrey-Chambertin Les Seuvrees</t>
  </si>
  <si>
    <t xml:space="preserve">Catena Cabernet Sauvignon </t>
  </si>
  <si>
    <t>Sparkling</t>
  </si>
  <si>
    <t>Magnum</t>
  </si>
  <si>
    <t xml:space="preserve">Valdobbiadene Prosecco Superiore Rustico Brut </t>
  </si>
  <si>
    <t>Nino Franco</t>
  </si>
  <si>
    <t>NICOLA GATTA</t>
  </si>
  <si>
    <t>Rosé de Noirs Nature</t>
  </si>
  <si>
    <t>ERIC BORDELET</t>
  </si>
  <si>
    <t>JUS DE POMMES</t>
  </si>
  <si>
    <t>SYDRE ARGELETTE</t>
  </si>
  <si>
    <t>GRANIT</t>
  </si>
  <si>
    <t>Cidre</t>
  </si>
  <si>
    <t>Онли</t>
  </si>
  <si>
    <t>PATRICK PIUZE</t>
  </si>
  <si>
    <t>FRENCH BUBBLE 50/50</t>
  </si>
  <si>
    <t>PAUL G. VALENTIN</t>
  </si>
  <si>
    <t>Cremant de Limoux №88</t>
  </si>
  <si>
    <t>Relats de Viticultors, Brut Nature</t>
  </si>
  <si>
    <t>RECAREDO</t>
  </si>
  <si>
    <t xml:space="preserve">Винотерра </t>
  </si>
  <si>
    <t xml:space="preserve">Grande Annee Brut </t>
  </si>
  <si>
    <t xml:space="preserve"> R.D. Extra Brut </t>
  </si>
  <si>
    <t>Louis Roederer</t>
  </si>
  <si>
    <t>Collection 245 Brut</t>
  </si>
  <si>
    <t>0,375 (DEMI)</t>
  </si>
  <si>
    <t>Vintage Brut</t>
  </si>
  <si>
    <t>Le Green Label Organic Brut</t>
  </si>
  <si>
    <t>Lanson</t>
  </si>
  <si>
    <t xml:space="preserve">Le Vintage Brut </t>
  </si>
  <si>
    <t>Charles Heidsieck</t>
  </si>
  <si>
    <t>Brut Reserve</t>
  </si>
  <si>
    <t>Blanc de Blancs Brut</t>
  </si>
  <si>
    <t>Gosset</t>
  </si>
  <si>
    <t>Grand Millesime Brut</t>
  </si>
  <si>
    <t>Grand Rose Brut</t>
  </si>
  <si>
    <t>Les Maisons de Champagne</t>
  </si>
  <si>
    <t>Soutiran</t>
  </si>
  <si>
    <t>Rose Grand Cru Brut</t>
  </si>
  <si>
    <t>Cuvée Millésimée Grand Cru Brut</t>
  </si>
  <si>
    <t>Bruno Paillard</t>
  </si>
  <si>
    <t>Cuvee 72</t>
  </si>
  <si>
    <t>LOT3 Alvarinho &amp;Trajadura</t>
  </si>
  <si>
    <t>MAXIME BLIN </t>
  </si>
  <si>
    <t>Nos Moments Carte Blanche</t>
  </si>
  <si>
    <t>Drappier</t>
  </si>
  <si>
    <t xml:space="preserve">Carte d'Or </t>
  </si>
  <si>
    <t>0,375 (demi)</t>
  </si>
  <si>
    <t>Лудинг</t>
  </si>
  <si>
    <t>Millesime Exception</t>
  </si>
  <si>
    <t>Grande Sendree</t>
  </si>
  <si>
    <t>Mailly</t>
  </si>
  <si>
    <t>Grand Cru Brut Reserve</t>
  </si>
  <si>
    <t xml:space="preserve">Delamotte </t>
  </si>
  <si>
    <t xml:space="preserve">Blanc de Blancs </t>
  </si>
  <si>
    <t>Les Vignerons de Champagne</t>
  </si>
  <si>
    <t>A. BERGÉRE</t>
  </si>
  <si>
    <t>Les CLos Extra Brut</t>
  </si>
  <si>
    <t>Origine Brut</t>
  </si>
  <si>
    <t>HENRI GIRAUD</t>
  </si>
  <si>
    <t>ESPRIT NATURE "G"</t>
  </si>
  <si>
    <t>3L (jEROBOAM)</t>
  </si>
  <si>
    <t xml:space="preserve">BLANC DE CRAIE </t>
  </si>
  <si>
    <t xml:space="preserve">BRUT RÉSERVE </t>
  </si>
  <si>
    <t>BÉRÊCHE &amp; FILS</t>
  </si>
  <si>
    <t>CRAMANT GRAND CRU</t>
  </si>
  <si>
    <t>Nowack</t>
  </si>
  <si>
    <t xml:space="preserve">S.A Sans Annee </t>
  </si>
  <si>
    <t>Franck Pascal</t>
  </si>
  <si>
    <t>Réliance Brut Nature</t>
  </si>
  <si>
    <t>Pascal Agrapart</t>
  </si>
  <si>
    <t>Complantēe Extra Brut Grand Cru</t>
  </si>
  <si>
    <t>Minéral Blanc de Blancs Grand Cru</t>
  </si>
  <si>
    <t>Vouette &amp; Sorbee</t>
  </si>
  <si>
    <t>Blanc d'Argile</t>
  </si>
  <si>
    <t>DHONDT-GRELLET</t>
  </si>
  <si>
    <t>ROC SOLARE</t>
  </si>
  <si>
    <t xml:space="preserve">CRAMANT </t>
  </si>
  <si>
    <t>LECLERC BRIANT</t>
  </si>
  <si>
    <t>CLANDESTIN</t>
  </si>
  <si>
    <t>Les Semblables "Boreal</t>
  </si>
  <si>
    <t xml:space="preserve">COLLERY </t>
  </si>
  <si>
    <t>Blanc de Blancs Aÿ Grand Cru</t>
  </si>
  <si>
    <t xml:space="preserve">Grand Cru Aÿ </t>
  </si>
  <si>
    <t xml:space="preserve">Geoffroy </t>
  </si>
  <si>
    <t>Purete 1-er Cru Brut Nature</t>
  </si>
  <si>
    <t>ROGER COULON </t>
  </si>
  <si>
    <t>Bandite Le Grand Chemin</t>
  </si>
  <si>
    <t>Rosélie Rosé de Saignée</t>
  </si>
  <si>
    <t>Egly-Ouriet</t>
  </si>
  <si>
    <t>Grand Cru</t>
  </si>
  <si>
    <t>Bernard Remy</t>
  </si>
  <si>
    <t>Carte Blanhe</t>
  </si>
  <si>
    <t>Ладога</t>
  </si>
  <si>
    <t>JACQUES SELOSSE</t>
  </si>
  <si>
    <t>LIEUX-DITS COLLECTION</t>
  </si>
  <si>
    <t>6 BOTTLES LIEUX-DITS</t>
  </si>
  <si>
    <t xml:space="preserve">WILLIAM SAINTOT </t>
  </si>
  <si>
    <t>La Cuvée Trilogie 1er Cru</t>
  </si>
  <si>
    <t>WILLIAM SAINTOT</t>
  </si>
  <si>
    <t>La Cuvée Prestige 1er Cru</t>
  </si>
  <si>
    <t xml:space="preserve">Arlaux </t>
  </si>
  <si>
    <t>Grande Cuvee</t>
  </si>
  <si>
    <t>Millesime Rare</t>
  </si>
  <si>
    <t xml:space="preserve">Blanc de Blancs Millésime </t>
  </si>
  <si>
    <t>Réserve</t>
  </si>
  <si>
    <t>Andre Beaufort</t>
  </si>
  <si>
    <t>Polisy Reserve Demi-Sec</t>
  </si>
  <si>
    <t>J-M SELEQUE </t>
  </si>
  <si>
    <t>Solessence</t>
  </si>
  <si>
    <t>Quintette Chardonnay 5 terroir</t>
  </si>
  <si>
    <t>Loire Blanc</t>
  </si>
  <si>
    <t>Didier Dagueneau</t>
  </si>
  <si>
    <t>Blanc Etc...</t>
  </si>
  <si>
    <t>Sancerre Blanc</t>
  </si>
  <si>
    <t>Pascal Jolivet</t>
  </si>
  <si>
    <t>Francois Chidaine</t>
  </si>
  <si>
    <t>Clos du Breuil Montlouis</t>
  </si>
  <si>
    <t>Loire Rouge</t>
  </si>
  <si>
    <t>DOMAINE GUIBERTEAU</t>
  </si>
  <si>
    <t>LES MOULINS ROUGE</t>
  </si>
  <si>
    <t>Dominique Barbou</t>
  </si>
  <si>
    <t>Les Griottines</t>
  </si>
  <si>
    <t>Domaine des Closiers</t>
  </si>
  <si>
    <t>Вайн банк</t>
  </si>
  <si>
    <t>"Les Closiers" Saumur Champigny</t>
  </si>
  <si>
    <t>Alsace Blanc</t>
  </si>
  <si>
    <t>Trimbach</t>
  </si>
  <si>
    <t>Riesling Cuvee Frederic Emile</t>
  </si>
  <si>
    <t>Domaine Marc Kreydenweiss</t>
  </si>
  <si>
    <t>Lune a Boire</t>
  </si>
  <si>
    <t>Alsace Rouge</t>
  </si>
  <si>
    <t>Bourgogne Blanc</t>
  </si>
  <si>
    <t>Domaine Philippe Chavy</t>
  </si>
  <si>
    <t>Bourgogne Chardonnay</t>
  </si>
  <si>
    <t>Domaine Pierre Morey</t>
  </si>
  <si>
    <t>Meursault</t>
  </si>
  <si>
    <t>Bourgogne Blanc Les Chenes</t>
  </si>
  <si>
    <t>Domaine Tripoz</t>
  </si>
  <si>
    <t>Domaine Fernand &amp; Laurent Pillot</t>
  </si>
  <si>
    <t>Chassagne-Montrachet</t>
  </si>
  <si>
    <t>Maxime Cheurlin Noellat</t>
  </si>
  <si>
    <t>Corton-Charlemagne Grand Cru</t>
  </si>
  <si>
    <t>Domaine de Villaine</t>
  </si>
  <si>
    <t>Frederic Cossard</t>
  </si>
  <si>
    <t>"Bigotes" Qvevris</t>
  </si>
  <si>
    <t>Аутентик</t>
  </si>
  <si>
    <t>Bourgogne Rouge</t>
  </si>
  <si>
    <t>Roland Lavantureux</t>
  </si>
  <si>
    <t>Chablis "Vau Renard"</t>
  </si>
  <si>
    <t>JESSICA LITAUD</t>
  </si>
  <si>
    <t>Le Trio Pouilly-Fuissé</t>
  </si>
  <si>
    <t>Trenel</t>
  </si>
  <si>
    <t>Bourgogne AOC Pinot Noir</t>
  </si>
  <si>
    <t>Philippe Pacalet</t>
  </si>
  <si>
    <t>"Les Charmots" Pommard 1er Cru</t>
  </si>
  <si>
    <t>Domaine Bruno Clair</t>
  </si>
  <si>
    <t>Aloxe-Corton</t>
  </si>
  <si>
    <t>Аст</t>
  </si>
  <si>
    <t>"Clos des Lambrays" Grand Cru</t>
  </si>
  <si>
    <t>Domaine des Lambrays</t>
  </si>
  <si>
    <t>Domaine Jacques Prieur</t>
  </si>
  <si>
    <t>Beaune-Greves Premier Cru</t>
  </si>
  <si>
    <t>Domaine Marquis d'Angerville</t>
  </si>
  <si>
    <t xml:space="preserve">Volnay 1er Cru Fremiet </t>
  </si>
  <si>
    <t>Domaine Michel Gros</t>
  </si>
  <si>
    <t>Bourgogne Hautes Cotes de Nuits "Fontaine Saint Martin"</t>
  </si>
  <si>
    <t>Domaine Meo-Camuzet</t>
  </si>
  <si>
    <t>Nuits-Saint-Georges Premier Cru Aux Boudots</t>
  </si>
  <si>
    <t>Domaine Xavier Monnot</t>
  </si>
  <si>
    <t>Meursault "Les Chevalieres"</t>
  </si>
  <si>
    <t>Charmes-Chambertin Grand Cru</t>
  </si>
  <si>
    <t>Domaine Thibault Liger-Belair</t>
  </si>
  <si>
    <t>Tony Bornard</t>
  </si>
  <si>
    <t>Le Ginglet</t>
  </si>
  <si>
    <t>Jura Rouge</t>
  </si>
  <si>
    <t>Arbois Pinot Noir Clos Saint-Laurent</t>
  </si>
  <si>
    <t>Domaine du Pelican</t>
  </si>
  <si>
    <t>Bouzeron Aligote</t>
  </si>
  <si>
    <t>Bordeaux Blanc</t>
  </si>
  <si>
    <t>"Le Petit Haut Lafitte"</t>
  </si>
  <si>
    <t>Chateau Smith Haut-Lafitte</t>
  </si>
  <si>
    <t>Chateau Carbonnieux Blanc</t>
  </si>
  <si>
    <t>Chateau Carbonnieux</t>
  </si>
  <si>
    <t>Chateau d'Yquem</t>
  </si>
  <si>
    <t>Sauternes</t>
  </si>
  <si>
    <t>0,375(demi) sweet</t>
  </si>
  <si>
    <t>Bordeaux Rouge</t>
  </si>
  <si>
    <t>Chateau Potensac</t>
  </si>
  <si>
    <t>Medoc</t>
  </si>
  <si>
    <t>"Fugue de Nenin", Pomerol</t>
  </si>
  <si>
    <t>Chateau Nenin</t>
  </si>
  <si>
    <t>Chateau Kirwan</t>
  </si>
  <si>
    <t>Margaux</t>
  </si>
  <si>
    <t>Chateau Giscours</t>
  </si>
  <si>
    <t>Chateau Smith Haut Lafitte</t>
  </si>
  <si>
    <t>Pessac-Leognan</t>
  </si>
  <si>
    <t>FAMILLE MITJAVILE</t>
  </si>
  <si>
    <t>ROC DE CAMBES</t>
  </si>
  <si>
    <t>TERTRE RÔTEBŒUF</t>
  </si>
  <si>
    <t>Provence</t>
  </si>
  <si>
    <t>Domaines Ott</t>
  </si>
  <si>
    <t>By.Ott</t>
  </si>
  <si>
    <t>Domaine De Trevallon</t>
  </si>
  <si>
    <t>Alpilles Rouge</t>
  </si>
  <si>
    <t xml:space="preserve">Indigo </t>
  </si>
  <si>
    <t>Domaine Houillon</t>
  </si>
  <si>
    <t>Guigal</t>
  </si>
  <si>
    <t>Crozes-Hermitage</t>
  </si>
  <si>
    <t xml:space="preserve">0,375(demi) </t>
  </si>
  <si>
    <t>Lucien Le Moine</t>
  </si>
  <si>
    <t>Chateauneuf-du-Pape "Omnia"</t>
  </si>
  <si>
    <t>Germany</t>
  </si>
  <si>
    <t>Van Volxem</t>
  </si>
  <si>
    <t>"Virtuos" Riesling</t>
  </si>
  <si>
    <t>EGON MÜLLER</t>
  </si>
  <si>
    <t>SCHARZHOFBERGER RIESLING SPÄTLESE</t>
  </si>
  <si>
    <t>Neus</t>
  </si>
  <si>
    <t>"Muschelkalk" Chardonnay</t>
  </si>
  <si>
    <t>A. Christmann</t>
  </si>
  <si>
    <t>Mussbacher Eselshaut" Spatburgunder</t>
  </si>
  <si>
    <t>France</t>
  </si>
  <si>
    <t>Austria</t>
  </si>
  <si>
    <t>Gut Oggau</t>
  </si>
  <si>
    <t>Mosele (Blanc)</t>
  </si>
  <si>
    <t>Rheinhessen (Blanc)</t>
  </si>
  <si>
    <t>Pfalz (Rouge)</t>
  </si>
  <si>
    <t>Rhone (Rouge)</t>
  </si>
  <si>
    <t>"Winifred" Rose</t>
  </si>
  <si>
    <t>Burgenland</t>
  </si>
  <si>
    <t>"Atanasius"</t>
  </si>
  <si>
    <t>Kamptal (blanc)</t>
  </si>
  <si>
    <t>Brundlmayer</t>
  </si>
  <si>
    <t>Gruner Veltliner Terrassen</t>
  </si>
  <si>
    <t>Wachau (blanc)</t>
  </si>
  <si>
    <t>Rouge</t>
  </si>
  <si>
    <t>Emmerich Knoll</t>
  </si>
  <si>
    <t>Gruner Veltliner Ried Kreutles Federspiel</t>
  </si>
  <si>
    <t>Italy</t>
  </si>
  <si>
    <t>Piedmont Rouge</t>
  </si>
  <si>
    <t xml:space="preserve">Travaglini </t>
  </si>
  <si>
    <t>Gattinara</t>
  </si>
  <si>
    <t>Roagna</t>
  </si>
  <si>
    <t>Barbaresco Paje</t>
  </si>
  <si>
    <t>Barbaresco Albesani</t>
  </si>
  <si>
    <t>Barale Fratelli</t>
  </si>
  <si>
    <t>Barolo "Monrobiolo di Bussia"</t>
  </si>
  <si>
    <t>Ceretto</t>
  </si>
  <si>
    <t>Barolo "Brunate"</t>
  </si>
  <si>
    <t xml:space="preserve">Tuscany Rouge </t>
  </si>
  <si>
    <t>CIGLIANO DI SOPRA</t>
  </si>
  <si>
    <t>Chianti Classico</t>
  </si>
  <si>
    <t>Il Marroneto</t>
  </si>
  <si>
    <t>Brunello di Montalcino</t>
  </si>
  <si>
    <t>Tenuta San Guido</t>
  </si>
  <si>
    <t>Bolgheri Sassicaia</t>
  </si>
  <si>
    <t>Tenuta di Trinoro</t>
  </si>
  <si>
    <t>Le Cupole</t>
  </si>
  <si>
    <t>Abruzzo (blanc)</t>
  </si>
  <si>
    <t>Trebbiano d'Abruzzo</t>
  </si>
  <si>
    <t>Valentini</t>
  </si>
  <si>
    <t>Emidio Pepe</t>
  </si>
  <si>
    <t>Pecorino, Colli Aprutini</t>
  </si>
  <si>
    <t>Sicily</t>
  </si>
  <si>
    <t>Salvo Foti</t>
  </si>
  <si>
    <t>Aurora Etna Bianco</t>
  </si>
  <si>
    <t>Blanc</t>
  </si>
  <si>
    <t>Etna Rosso</t>
  </si>
  <si>
    <t>Tenuta delle Terre Nere</t>
  </si>
  <si>
    <t>Spain</t>
  </si>
  <si>
    <t>ENVINATE</t>
  </si>
  <si>
    <t>Taganan Blanco</t>
  </si>
  <si>
    <t>Esencia Rural</t>
  </si>
  <si>
    <t>Pampaneo Ecologico Airen</t>
  </si>
  <si>
    <t>Terroir Al Limit</t>
  </si>
  <si>
    <t>TSF Brisat</t>
  </si>
  <si>
    <t>Orange</t>
  </si>
  <si>
    <t>Terras Gauda</t>
  </si>
  <si>
    <t>Piedra del Mar Albarino</t>
  </si>
  <si>
    <t>Benje Tinto</t>
  </si>
  <si>
    <t>Lopez De Heredia</t>
  </si>
  <si>
    <t>Vina Tondonia</t>
  </si>
  <si>
    <t>Alion</t>
  </si>
  <si>
    <t>Дп</t>
  </si>
  <si>
    <t>Bodegas Vega Sicilia</t>
  </si>
  <si>
    <t xml:space="preserve">Bodegas y Vinedos Alnardo </t>
  </si>
  <si>
    <t>Ribera del Duero PSI</t>
  </si>
  <si>
    <t xml:space="preserve">Arbossar </t>
  </si>
  <si>
    <t>Russia</t>
  </si>
  <si>
    <t>Oleg Repin</t>
  </si>
  <si>
    <t xml:space="preserve">Aligote Duvankoy </t>
  </si>
  <si>
    <t>Petrouchka</t>
  </si>
  <si>
    <t>Galitsky &amp; Galitsky</t>
  </si>
  <si>
    <t>Sikory</t>
  </si>
  <si>
    <t>Riesling Family reserve</t>
  </si>
  <si>
    <t>Pavel Shvets Kokur OAK</t>
  </si>
  <si>
    <t>UPPA</t>
  </si>
  <si>
    <t>Швец</t>
  </si>
  <si>
    <t>Pavel Shvets Pinot Noir Cler Nummulite</t>
  </si>
  <si>
    <t>"Kacha Valley" Cabernet Franc</t>
  </si>
  <si>
    <t>Satera</t>
  </si>
  <si>
    <t>Paradise Garage</t>
  </si>
  <si>
    <t>Pinot Noir Carbonic</t>
  </si>
  <si>
    <t>Krasnostop Krasnaya Gorka</t>
  </si>
  <si>
    <t xml:space="preserve">Other countries </t>
  </si>
  <si>
    <t>Paul Hobbs</t>
  </si>
  <si>
    <t>CrossBarn Cabernet Sauvignon</t>
  </si>
  <si>
    <t>Beaux Freres</t>
  </si>
  <si>
    <t>Pinot Noir</t>
  </si>
  <si>
    <t>Caymus </t>
  </si>
  <si>
    <t>Cabernet Sauvignon</t>
  </si>
  <si>
    <t>USA</t>
  </si>
  <si>
    <t>Vina Sena</t>
  </si>
  <si>
    <t>Sena</t>
  </si>
  <si>
    <t>Chile</t>
  </si>
  <si>
    <t xml:space="preserve">Catena Zapata </t>
  </si>
  <si>
    <t>Catena Chardonnay</t>
  </si>
  <si>
    <t>Argentina</t>
  </si>
  <si>
    <t>Catena Zapata Malbec Argentino</t>
  </si>
  <si>
    <t>Spice Route</t>
  </si>
  <si>
    <t>Pinotage Swartland</t>
  </si>
  <si>
    <t>South Africa</t>
  </si>
  <si>
    <t>Klein Constantia</t>
  </si>
  <si>
    <t>Vin de Constance</t>
  </si>
  <si>
    <t>Sweet</t>
  </si>
  <si>
    <t>Rhone (Blanc)</t>
  </si>
  <si>
    <t>Domaine du Tunnel</t>
  </si>
  <si>
    <t>Saint-Peray Roussanne</t>
  </si>
  <si>
    <t>J.L. Vergnon</t>
  </si>
  <si>
    <t>"MSNL" Blanc de Blancs Grand 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</si>
</sst>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141413"/>
      <name val="Aptos Narrow"/>
      <scheme val="minor"/>
    </font>
    <font>
      <sz val="12"/>
      <color rgb="FF000000"/>
      <name val="Aptos Narrow"/>
      <scheme val="minor"/>
    </font>
    <font>
      <sz val="12"/>
      <color rgb="FF1E355C"/>
      <name val="Aptos Narrow"/>
      <scheme val="minor"/>
    </font>
    <font>
      <sz val="12"/>
      <name val="Aptos Narrow"/>
      <scheme val="minor"/>
    </font>
    <font>
      <sz val="12"/>
      <color rgb="FF28282A"/>
      <name val="Aptos Narrow"/>
      <scheme val="minor"/>
    </font>
    <font>
      <sz val="12"/>
      <color rgb="FF343433"/>
      <name val="Aptos Narrow"/>
      <scheme val="minor"/>
    </font>
    <font>
      <sz val="12"/>
      <color rgb="FF2A2425"/>
      <name val="Aptos Narrow"/>
      <scheme val="minor"/>
    </font>
    <font>
      <sz val="12"/>
      <color rgb="FF474341"/>
      <name val="Aptos Narrow"/>
      <scheme val="minor"/>
    </font>
    <font>
      <sz val="11"/>
      <color rgb="FF474341"/>
      <name val="Aptos Narrow"/>
      <scheme val="minor"/>
    </font>
    <font>
      <sz val="12"/>
      <color rgb="FF263238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1F1F1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2" xfId="0" applyFont="1" applyBorder="1"/>
    <xf numFmtId="3" fontId="2" fillId="0" borderId="2" xfId="0" applyNumberFormat="1" applyFont="1" applyBorder="1"/>
    <xf numFmtId="0" fontId="3" fillId="0" borderId="2" xfId="0" applyFont="1" applyBorder="1"/>
    <xf numFmtId="0" fontId="2" fillId="0" borderId="0" xfId="0" applyFont="1"/>
    <xf numFmtId="0" fontId="4" fillId="0" borderId="2" xfId="0" applyFont="1" applyBorder="1"/>
    <xf numFmtId="0" fontId="5" fillId="0" borderId="2" xfId="0" applyFont="1" applyBorder="1"/>
    <xf numFmtId="0" fontId="7" fillId="0" borderId="2" xfId="0" applyFont="1" applyBorder="1"/>
    <xf numFmtId="0" fontId="2" fillId="0" borderId="7" xfId="0" applyFont="1" applyBorder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top"/>
    </xf>
    <xf numFmtId="0" fontId="2" fillId="0" borderId="6" xfId="0" applyFont="1" applyBorder="1"/>
    <xf numFmtId="0" fontId="1" fillId="0" borderId="2" xfId="0" applyFont="1" applyBorder="1" applyAlignment="1">
      <alignment horizontal="center"/>
    </xf>
    <xf numFmtId="4" fontId="6" fillId="0" borderId="2" xfId="0" applyNumberFormat="1" applyFont="1" applyBorder="1" applyAlignment="1">
      <alignment horizontal="right" vertical="top" wrapText="1"/>
    </xf>
    <xf numFmtId="0" fontId="4" fillId="0" borderId="6" xfId="0" applyFont="1" applyBorder="1"/>
    <xf numFmtId="3" fontId="2" fillId="0" borderId="6" xfId="0" applyNumberFormat="1" applyFont="1" applyBorder="1"/>
    <xf numFmtId="0" fontId="8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6" fillId="0" borderId="2" xfId="0" applyFont="1" applyBorder="1" applyAlignment="1">
      <alignment vertical="top" wrapText="1"/>
    </xf>
    <xf numFmtId="1" fontId="2" fillId="0" borderId="2" xfId="0" applyNumberFormat="1" applyFont="1" applyBorder="1"/>
    <xf numFmtId="0" fontId="9" fillId="0" borderId="2" xfId="0" applyFont="1" applyBorder="1" applyAlignment="1">
      <alignment wrapText="1"/>
    </xf>
    <xf numFmtId="0" fontId="12" fillId="0" borderId="2" xfId="0" applyFont="1" applyBorder="1"/>
    <xf numFmtId="0" fontId="15" fillId="0" borderId="2" xfId="0" applyFont="1" applyBorder="1"/>
    <xf numFmtId="0" fontId="2" fillId="0" borderId="9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9" fillId="0" borderId="0" xfId="0" applyFont="1"/>
    <xf numFmtId="3" fontId="2" fillId="0" borderId="9" xfId="0" applyNumberFormat="1" applyFont="1" applyBorder="1"/>
    <xf numFmtId="0" fontId="2" fillId="0" borderId="10" xfId="0" applyFont="1" applyBorder="1"/>
    <xf numFmtId="0" fontId="9" fillId="0" borderId="11" xfId="0" applyFont="1" applyBorder="1"/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0642-0E5A-474B-ACC5-4629417673CA}">
  <dimension ref="A1:I212"/>
  <sheetViews>
    <sheetView tabSelected="1" zoomScale="139" zoomScaleNormal="120" workbookViewId="0">
      <selection activeCell="F11" sqref="F11"/>
    </sheetView>
  </sheetViews>
  <sheetFormatPr baseColWidth="10" defaultRowHeight="16" x14ac:dyDescent="0.2"/>
  <cols>
    <col min="1" max="1" width="5.1640625" bestFit="1" customWidth="1"/>
    <col min="2" max="2" width="44.33203125" bestFit="1" customWidth="1"/>
    <col min="3" max="3" width="32" bestFit="1" customWidth="1"/>
    <col min="5" max="5" width="0" hidden="1" customWidth="1"/>
    <col min="6" max="6" width="12.33203125" bestFit="1" customWidth="1"/>
    <col min="9" max="9" width="19.5" bestFit="1" customWidth="1"/>
  </cols>
  <sheetData>
    <row r="1" spans="1:9" ht="43" customHeight="1" x14ac:dyDescent="0.2">
      <c r="A1" s="34" t="s">
        <v>0</v>
      </c>
      <c r="B1" s="35"/>
      <c r="C1" s="35"/>
      <c r="D1" s="36"/>
    </row>
    <row r="2" spans="1:9" x14ac:dyDescent="0.2">
      <c r="A2" s="32" t="s">
        <v>1</v>
      </c>
      <c r="B2" s="32"/>
      <c r="C2" s="32"/>
      <c r="D2" s="32"/>
      <c r="E2" s="4"/>
      <c r="F2" s="4"/>
      <c r="G2" s="4"/>
      <c r="H2" s="4"/>
      <c r="I2" s="4"/>
    </row>
    <row r="3" spans="1:9" x14ac:dyDescent="0.2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4"/>
      <c r="I3" s="4"/>
    </row>
    <row r="4" spans="1:9" ht="30" customHeight="1" x14ac:dyDescent="0.2">
      <c r="A4" s="1" t="s">
        <v>2</v>
      </c>
      <c r="B4" s="5" t="s">
        <v>3</v>
      </c>
      <c r="C4" s="5" t="s">
        <v>4</v>
      </c>
      <c r="D4" s="5">
        <v>8190</v>
      </c>
      <c r="E4" s="1">
        <f>D4*0.55</f>
        <v>4504.5</v>
      </c>
      <c r="F4" s="1">
        <v>1900</v>
      </c>
      <c r="G4" s="1" t="s">
        <v>12</v>
      </c>
      <c r="H4" s="1"/>
      <c r="I4" s="4"/>
    </row>
    <row r="5" spans="1:9" x14ac:dyDescent="0.2">
      <c r="A5" s="1" t="s">
        <v>2</v>
      </c>
      <c r="B5" s="1" t="s">
        <v>15</v>
      </c>
      <c r="C5" s="1" t="s">
        <v>13</v>
      </c>
      <c r="D5" s="1">
        <v>4970</v>
      </c>
      <c r="E5" s="1">
        <f>D5*0.8</f>
        <v>3976</v>
      </c>
      <c r="F5" s="1">
        <v>1600</v>
      </c>
      <c r="G5" s="1" t="s">
        <v>14</v>
      </c>
      <c r="H5" s="1"/>
      <c r="I5" s="4"/>
    </row>
    <row r="6" spans="1:9" x14ac:dyDescent="0.2">
      <c r="A6" s="1" t="s">
        <v>2</v>
      </c>
      <c r="B6" s="1" t="s">
        <v>16</v>
      </c>
      <c r="C6" s="1" t="s">
        <v>17</v>
      </c>
      <c r="D6" s="13">
        <v>13370</v>
      </c>
      <c r="E6" s="1">
        <v>6200</v>
      </c>
      <c r="F6" s="1">
        <v>2300</v>
      </c>
      <c r="G6" s="1" t="s">
        <v>18</v>
      </c>
      <c r="H6" s="1"/>
      <c r="I6" s="4"/>
    </row>
    <row r="7" spans="1:9" x14ac:dyDescent="0.2">
      <c r="A7" s="1" t="s">
        <v>2</v>
      </c>
      <c r="B7" s="1" t="s">
        <v>20</v>
      </c>
      <c r="C7" s="1" t="s">
        <v>19</v>
      </c>
      <c r="D7" s="2">
        <v>10900</v>
      </c>
      <c r="E7" s="1">
        <f>D7*0.8</f>
        <v>8720</v>
      </c>
      <c r="F7" s="1">
        <v>2800</v>
      </c>
      <c r="G7" s="1" t="s">
        <v>14</v>
      </c>
      <c r="H7" s="1" t="s">
        <v>21</v>
      </c>
      <c r="I7" s="4"/>
    </row>
    <row r="8" spans="1:9" x14ac:dyDescent="0.2">
      <c r="A8" s="1" t="s">
        <v>2</v>
      </c>
      <c r="B8" s="3" t="s">
        <v>143</v>
      </c>
      <c r="C8" s="3" t="s">
        <v>142</v>
      </c>
      <c r="D8" s="1">
        <v>7270</v>
      </c>
      <c r="E8" s="1">
        <v>2900</v>
      </c>
      <c r="F8" s="1">
        <v>990</v>
      </c>
      <c r="G8" s="1" t="s">
        <v>144</v>
      </c>
      <c r="H8" s="1"/>
      <c r="I8" s="4"/>
    </row>
    <row r="9" spans="1:9" x14ac:dyDescent="0.2">
      <c r="A9" s="32" t="s">
        <v>317</v>
      </c>
      <c r="B9" s="32"/>
      <c r="C9" s="32"/>
      <c r="D9" s="32"/>
      <c r="E9" s="4"/>
      <c r="F9" s="4"/>
      <c r="G9" s="4"/>
      <c r="H9" s="4"/>
      <c r="I9" s="4"/>
    </row>
    <row r="10" spans="1:9" x14ac:dyDescent="0.2">
      <c r="A10" s="1">
        <v>2024</v>
      </c>
      <c r="B10" s="1" t="s">
        <v>23</v>
      </c>
      <c r="C10" s="1" t="s">
        <v>22</v>
      </c>
      <c r="D10" s="1">
        <v>2670</v>
      </c>
      <c r="E10" s="1">
        <f>D10*0.8</f>
        <v>2136</v>
      </c>
      <c r="F10" s="1">
        <v>1200</v>
      </c>
      <c r="G10" s="1" t="s">
        <v>30</v>
      </c>
      <c r="H10" s="1"/>
      <c r="I10" s="4"/>
    </row>
    <row r="11" spans="1:9" x14ac:dyDescent="0.2">
      <c r="A11" s="1">
        <v>2023</v>
      </c>
      <c r="B11" s="1" t="s">
        <v>24</v>
      </c>
      <c r="C11" s="1" t="s">
        <v>25</v>
      </c>
      <c r="D11" s="1">
        <v>3990</v>
      </c>
      <c r="E11" s="1">
        <f>D11*0.55</f>
        <v>2194.5</v>
      </c>
      <c r="F11" s="1">
        <v>950</v>
      </c>
      <c r="G11" s="1" t="s">
        <v>29</v>
      </c>
      <c r="H11" s="1"/>
      <c r="I11" s="4"/>
    </row>
    <row r="12" spans="1:9" x14ac:dyDescent="0.2">
      <c r="A12" s="1">
        <v>2024</v>
      </c>
      <c r="B12" s="1" t="s">
        <v>93</v>
      </c>
      <c r="C12" s="1" t="s">
        <v>26</v>
      </c>
      <c r="D12" s="1">
        <v>2780</v>
      </c>
      <c r="E12" s="1">
        <v>2224</v>
      </c>
      <c r="F12" s="1">
        <v>1100</v>
      </c>
      <c r="G12" s="1" t="s">
        <v>14</v>
      </c>
      <c r="H12" s="1"/>
      <c r="I12" s="4"/>
    </row>
    <row r="13" spans="1:9" x14ac:dyDescent="0.2">
      <c r="A13" s="1">
        <v>2024</v>
      </c>
      <c r="B13" s="1" t="s">
        <v>27</v>
      </c>
      <c r="C13" s="1" t="s">
        <v>28</v>
      </c>
      <c r="D13" s="1">
        <v>2920</v>
      </c>
      <c r="E13" s="1">
        <f>D13*0.6</f>
        <v>1752</v>
      </c>
      <c r="F13" s="1">
        <v>900</v>
      </c>
      <c r="G13" s="1" t="s">
        <v>18</v>
      </c>
      <c r="H13" s="1"/>
      <c r="I13" s="4" t="s">
        <v>32</v>
      </c>
    </row>
    <row r="14" spans="1:9" x14ac:dyDescent="0.2">
      <c r="A14" s="1">
        <v>2023</v>
      </c>
      <c r="B14" s="1" t="s">
        <v>33</v>
      </c>
      <c r="C14" s="1" t="s">
        <v>31</v>
      </c>
      <c r="D14" s="1">
        <v>11860</v>
      </c>
      <c r="E14" s="1">
        <v>7116</v>
      </c>
      <c r="F14" s="1">
        <v>2600</v>
      </c>
      <c r="G14" s="1" t="s">
        <v>34</v>
      </c>
      <c r="H14" s="1"/>
      <c r="I14" s="4"/>
    </row>
    <row r="15" spans="1:9" x14ac:dyDescent="0.2">
      <c r="A15" s="32" t="s">
        <v>35</v>
      </c>
      <c r="B15" s="32"/>
      <c r="C15" s="32"/>
      <c r="D15" s="32"/>
      <c r="E15" s="4"/>
      <c r="F15" s="4"/>
      <c r="G15" s="4"/>
      <c r="H15" s="4"/>
      <c r="I15" s="4"/>
    </row>
    <row r="16" spans="1:9" x14ac:dyDescent="0.2">
      <c r="A16" s="1">
        <v>2024</v>
      </c>
      <c r="B16" s="1" t="s">
        <v>37</v>
      </c>
      <c r="C16" s="1" t="s">
        <v>36</v>
      </c>
      <c r="D16" s="1">
        <v>4730</v>
      </c>
      <c r="E16" s="1">
        <v>2838</v>
      </c>
      <c r="F16" s="1">
        <v>1400</v>
      </c>
      <c r="G16" s="1" t="s">
        <v>18</v>
      </c>
      <c r="H16" s="1"/>
      <c r="I16" s="4"/>
    </row>
    <row r="17" spans="1:9" x14ac:dyDescent="0.2">
      <c r="A17" s="1">
        <v>2023</v>
      </c>
      <c r="B17" s="1" t="s">
        <v>39</v>
      </c>
      <c r="C17" s="1" t="s">
        <v>38</v>
      </c>
      <c r="D17" s="1">
        <v>3450</v>
      </c>
      <c r="E17" s="1">
        <v>2070</v>
      </c>
      <c r="F17" s="1">
        <v>950</v>
      </c>
      <c r="G17" s="1" t="s">
        <v>40</v>
      </c>
      <c r="H17" s="1"/>
      <c r="I17" s="4"/>
    </row>
    <row r="18" spans="1:9" x14ac:dyDescent="0.2">
      <c r="A18" s="32" t="s">
        <v>286</v>
      </c>
      <c r="B18" s="32"/>
      <c r="C18" s="32"/>
      <c r="D18" s="32"/>
      <c r="E18" s="4"/>
      <c r="F18" s="4"/>
      <c r="G18" s="4"/>
      <c r="H18" s="4"/>
      <c r="I18" s="4"/>
    </row>
    <row r="19" spans="1:9" ht="17" x14ac:dyDescent="0.2">
      <c r="A19" s="1">
        <v>2020</v>
      </c>
      <c r="B19" s="9" t="s">
        <v>52</v>
      </c>
      <c r="C19" s="1" t="s">
        <v>41</v>
      </c>
      <c r="D19" s="1">
        <v>2750</v>
      </c>
      <c r="E19" s="1">
        <v>1650</v>
      </c>
      <c r="F19" s="1">
        <v>800</v>
      </c>
      <c r="G19" s="1" t="s">
        <v>18</v>
      </c>
      <c r="H19" s="1"/>
      <c r="I19" s="1"/>
    </row>
    <row r="20" spans="1:9" x14ac:dyDescent="0.2">
      <c r="A20" s="1">
        <v>2024</v>
      </c>
      <c r="B20" s="6" t="s">
        <v>43</v>
      </c>
      <c r="C20" s="6" t="s">
        <v>42</v>
      </c>
      <c r="D20" s="1">
        <v>3132</v>
      </c>
      <c r="E20" s="1">
        <f>D20*0.6</f>
        <v>1879.1999999999998</v>
      </c>
      <c r="F20" s="1">
        <v>900</v>
      </c>
      <c r="G20" s="1" t="s">
        <v>34</v>
      </c>
      <c r="H20" s="1"/>
      <c r="I20" s="1"/>
    </row>
    <row r="21" spans="1:9" x14ac:dyDescent="0.2">
      <c r="A21" s="1">
        <v>2023</v>
      </c>
      <c r="B21" s="7" t="s">
        <v>44</v>
      </c>
      <c r="C21" s="1" t="s">
        <v>45</v>
      </c>
      <c r="D21" s="1">
        <v>3990</v>
      </c>
      <c r="E21" s="1">
        <v>2194</v>
      </c>
      <c r="F21" s="1">
        <v>1100</v>
      </c>
      <c r="G21" s="1" t="s">
        <v>29</v>
      </c>
      <c r="H21" s="1"/>
      <c r="I21" s="1"/>
    </row>
    <row r="22" spans="1:9" x14ac:dyDescent="0.2">
      <c r="A22" s="1">
        <v>2023</v>
      </c>
      <c r="B22" s="5" t="s">
        <v>46</v>
      </c>
      <c r="C22" s="5" t="s">
        <v>47</v>
      </c>
      <c r="D22" s="1">
        <v>8260</v>
      </c>
      <c r="E22" s="1">
        <f>D22*0.8</f>
        <v>6608</v>
      </c>
      <c r="F22" s="1">
        <v>2500</v>
      </c>
      <c r="G22" s="1" t="s">
        <v>30</v>
      </c>
      <c r="H22" s="1"/>
      <c r="I22" s="1" t="s">
        <v>32</v>
      </c>
    </row>
    <row r="23" spans="1:9" x14ac:dyDescent="0.2">
      <c r="A23" s="1">
        <v>2022</v>
      </c>
      <c r="B23" s="1" t="s">
        <v>49</v>
      </c>
      <c r="C23" s="1" t="s">
        <v>48</v>
      </c>
      <c r="D23" s="1">
        <v>4910</v>
      </c>
      <c r="E23" s="1">
        <f>D23*0.8</f>
        <v>3928</v>
      </c>
      <c r="F23" s="1">
        <v>1700</v>
      </c>
      <c r="G23" s="1" t="s">
        <v>14</v>
      </c>
      <c r="H23" s="1"/>
      <c r="I23" s="1" t="s">
        <v>32</v>
      </c>
    </row>
    <row r="24" spans="1:9" x14ac:dyDescent="0.2">
      <c r="A24" s="1">
        <v>2022</v>
      </c>
      <c r="B24" s="6" t="s">
        <v>51</v>
      </c>
      <c r="C24" s="6" t="s">
        <v>50</v>
      </c>
      <c r="D24" s="1">
        <v>19287</v>
      </c>
      <c r="E24" s="1">
        <f>D24*0.6</f>
        <v>11572.199999999999</v>
      </c>
      <c r="F24" s="1">
        <v>3800</v>
      </c>
      <c r="G24" s="1" t="s">
        <v>34</v>
      </c>
      <c r="H24" s="1"/>
      <c r="I24" s="1" t="s">
        <v>32</v>
      </c>
    </row>
    <row r="25" spans="1:9" x14ac:dyDescent="0.2">
      <c r="A25" s="32" t="s">
        <v>53</v>
      </c>
      <c r="B25" s="32"/>
      <c r="C25" s="32"/>
      <c r="D25" s="32"/>
      <c r="E25" s="4"/>
      <c r="F25" s="4"/>
      <c r="G25" s="4"/>
      <c r="H25" s="4"/>
      <c r="I25" s="8" t="s">
        <v>54</v>
      </c>
    </row>
    <row r="26" spans="1:9" x14ac:dyDescent="0.2">
      <c r="A26" s="1" t="s">
        <v>2</v>
      </c>
      <c r="B26" s="10" t="s">
        <v>55</v>
      </c>
      <c r="C26" s="1" t="s">
        <v>56</v>
      </c>
      <c r="D26" s="1">
        <v>7110</v>
      </c>
      <c r="E26" s="1">
        <f>D26*0.65</f>
        <v>4621.5</v>
      </c>
      <c r="F26" s="1">
        <v>11800</v>
      </c>
      <c r="G26" s="1" t="s">
        <v>18</v>
      </c>
      <c r="H26" s="1"/>
      <c r="I26" s="1"/>
    </row>
    <row r="27" spans="1:9" x14ac:dyDescent="0.2">
      <c r="A27" s="1">
        <v>2016</v>
      </c>
      <c r="B27" s="1" t="s">
        <v>58</v>
      </c>
      <c r="C27" s="1" t="s">
        <v>57</v>
      </c>
      <c r="D27" s="1">
        <v>11720</v>
      </c>
      <c r="E27" s="1">
        <f>D27*0.8</f>
        <v>9376</v>
      </c>
      <c r="F27" s="1">
        <v>28600</v>
      </c>
      <c r="G27" s="1" t="s">
        <v>14</v>
      </c>
      <c r="H27" s="1" t="s">
        <v>21</v>
      </c>
      <c r="I27" s="1"/>
    </row>
    <row r="28" spans="1:9" x14ac:dyDescent="0.2">
      <c r="A28" s="1" t="s">
        <v>2</v>
      </c>
      <c r="B28" s="1" t="s">
        <v>66</v>
      </c>
      <c r="C28" s="1" t="s">
        <v>65</v>
      </c>
      <c r="D28" s="1">
        <v>3640</v>
      </c>
      <c r="E28" s="1">
        <f>D28*0.85</f>
        <v>3094</v>
      </c>
      <c r="F28" s="1">
        <v>7800</v>
      </c>
      <c r="G28" s="1" t="s">
        <v>64</v>
      </c>
      <c r="H28" s="1"/>
      <c r="I28" s="1"/>
    </row>
    <row r="29" spans="1:9" x14ac:dyDescent="0.2">
      <c r="A29" s="1">
        <v>2022</v>
      </c>
      <c r="B29" s="5" t="s">
        <v>68</v>
      </c>
      <c r="C29" s="5" t="s">
        <v>67</v>
      </c>
      <c r="D29" s="1">
        <v>2950</v>
      </c>
      <c r="E29" s="1">
        <f>D29*0.6</f>
        <v>1770</v>
      </c>
      <c r="F29" s="1">
        <v>5700</v>
      </c>
      <c r="G29" s="1" t="s">
        <v>12</v>
      </c>
      <c r="H29" s="1"/>
      <c r="I29" s="1"/>
    </row>
    <row r="30" spans="1:9" x14ac:dyDescent="0.2">
      <c r="A30" s="1" t="s">
        <v>2</v>
      </c>
      <c r="B30" s="1" t="s">
        <v>60</v>
      </c>
      <c r="C30" s="1" t="s">
        <v>59</v>
      </c>
      <c r="D30" s="1">
        <v>2290</v>
      </c>
      <c r="E30" s="1">
        <f>D30*0.85</f>
        <v>1946.5</v>
      </c>
      <c r="F30" s="1">
        <v>4600</v>
      </c>
      <c r="G30" s="1" t="s">
        <v>64</v>
      </c>
      <c r="H30" s="1" t="s">
        <v>63</v>
      </c>
      <c r="I30" s="1"/>
    </row>
    <row r="31" spans="1:9" x14ac:dyDescent="0.2">
      <c r="A31" s="1">
        <v>2022</v>
      </c>
      <c r="B31" s="1" t="s">
        <v>61</v>
      </c>
      <c r="C31" s="1" t="s">
        <v>59</v>
      </c>
      <c r="D31" s="1">
        <v>3560</v>
      </c>
      <c r="E31" s="1">
        <f t="shared" ref="E31:E32" si="0">D31*0.85</f>
        <v>3026</v>
      </c>
      <c r="F31" s="1">
        <v>6800</v>
      </c>
      <c r="G31" s="1" t="s">
        <v>64</v>
      </c>
      <c r="H31" s="1" t="s">
        <v>63</v>
      </c>
      <c r="I31" s="1"/>
    </row>
    <row r="32" spans="1:9" x14ac:dyDescent="0.2">
      <c r="A32" s="1">
        <v>2022</v>
      </c>
      <c r="B32" s="1" t="s">
        <v>62</v>
      </c>
      <c r="C32" s="1" t="s">
        <v>59</v>
      </c>
      <c r="D32" s="1">
        <v>10650</v>
      </c>
      <c r="E32" s="1">
        <f t="shared" si="0"/>
        <v>9052.5</v>
      </c>
      <c r="F32" s="1">
        <v>19000</v>
      </c>
      <c r="G32" s="1" t="s">
        <v>64</v>
      </c>
      <c r="H32" s="1" t="s">
        <v>63</v>
      </c>
      <c r="I32" s="1" t="s">
        <v>54</v>
      </c>
    </row>
    <row r="33" spans="1:9" x14ac:dyDescent="0.2">
      <c r="A33" s="1">
        <v>2020</v>
      </c>
      <c r="B33" s="5" t="s">
        <v>69</v>
      </c>
      <c r="C33" s="1" t="s">
        <v>70</v>
      </c>
      <c r="D33" s="1">
        <v>5350</v>
      </c>
      <c r="E33" s="1">
        <f>D33*0.6</f>
        <v>3210</v>
      </c>
      <c r="F33" s="1">
        <v>7200</v>
      </c>
      <c r="G33" s="1" t="s">
        <v>71</v>
      </c>
      <c r="H33" s="1"/>
      <c r="I33" s="1"/>
    </row>
    <row r="34" spans="1:9" ht="22" x14ac:dyDescent="0.3">
      <c r="A34" s="39" t="s">
        <v>272</v>
      </c>
      <c r="B34" s="39"/>
      <c r="C34" s="39"/>
      <c r="D34" s="39"/>
      <c r="E34" s="39"/>
      <c r="F34" s="39"/>
      <c r="G34" s="39"/>
      <c r="H34" s="39"/>
      <c r="I34" s="39"/>
    </row>
    <row r="35" spans="1:9" x14ac:dyDescent="0.2">
      <c r="A35" s="37" t="s">
        <v>87</v>
      </c>
      <c r="B35" s="37"/>
      <c r="C35" s="37"/>
      <c r="D35" s="37"/>
      <c r="E35" s="4"/>
      <c r="F35" s="4"/>
      <c r="G35" s="4"/>
      <c r="H35" s="4"/>
      <c r="I35" s="4"/>
    </row>
    <row r="36" spans="1:9" x14ac:dyDescent="0.2">
      <c r="A36" s="1" t="s">
        <v>2</v>
      </c>
      <c r="B36" s="1" t="s">
        <v>16</v>
      </c>
      <c r="C36" s="1" t="s">
        <v>17</v>
      </c>
      <c r="D36" s="13">
        <v>13370</v>
      </c>
      <c r="E36" s="1">
        <v>6200</v>
      </c>
      <c r="F36" s="2">
        <v>13800</v>
      </c>
      <c r="G36" s="1" t="s">
        <v>18</v>
      </c>
      <c r="H36" s="1"/>
      <c r="I36" s="1"/>
    </row>
    <row r="37" spans="1:9" x14ac:dyDescent="0.2">
      <c r="A37" s="1">
        <v>2015</v>
      </c>
      <c r="B37" s="10" t="s">
        <v>72</v>
      </c>
      <c r="C37" s="1" t="s">
        <v>17</v>
      </c>
      <c r="D37" s="2">
        <v>34730</v>
      </c>
      <c r="E37" s="1">
        <f>D37*0.65</f>
        <v>22574.5</v>
      </c>
      <c r="F37" s="2">
        <v>46000</v>
      </c>
      <c r="G37" s="1" t="s">
        <v>18</v>
      </c>
      <c r="H37" s="1"/>
      <c r="I37" s="1"/>
    </row>
    <row r="38" spans="1:9" x14ac:dyDescent="0.2">
      <c r="A38" s="1">
        <v>2008</v>
      </c>
      <c r="B38" s="10" t="s">
        <v>73</v>
      </c>
      <c r="C38" s="1" t="s">
        <v>17</v>
      </c>
      <c r="D38" s="1">
        <v>65630</v>
      </c>
      <c r="E38" s="1">
        <f>D38*0.65</f>
        <v>42659.5</v>
      </c>
      <c r="F38" s="1">
        <v>89000</v>
      </c>
      <c r="G38" s="1" t="s">
        <v>18</v>
      </c>
      <c r="H38" s="1"/>
      <c r="I38" s="1"/>
    </row>
    <row r="39" spans="1:9" x14ac:dyDescent="0.2">
      <c r="A39" s="1" t="s">
        <v>2</v>
      </c>
      <c r="B39" s="1" t="s">
        <v>75</v>
      </c>
      <c r="C39" s="1" t="s">
        <v>74</v>
      </c>
      <c r="D39" s="1">
        <v>9490</v>
      </c>
      <c r="E39" s="1">
        <f>D39*0.55</f>
        <v>5219.5</v>
      </c>
      <c r="F39" s="1">
        <v>12300</v>
      </c>
      <c r="G39" s="1" t="s">
        <v>29</v>
      </c>
      <c r="H39" s="1"/>
      <c r="I39" s="1" t="s">
        <v>76</v>
      </c>
    </row>
    <row r="40" spans="1:9" x14ac:dyDescent="0.2">
      <c r="A40" s="1">
        <v>2015</v>
      </c>
      <c r="B40" s="1" t="s">
        <v>77</v>
      </c>
      <c r="C40" s="1" t="s">
        <v>74</v>
      </c>
      <c r="D40" s="1">
        <v>24990</v>
      </c>
      <c r="E40" s="1">
        <f>D40*0.55</f>
        <v>13744.500000000002</v>
      </c>
      <c r="F40" s="2">
        <v>29000</v>
      </c>
      <c r="G40" s="1" t="s">
        <v>29</v>
      </c>
      <c r="H40" s="1"/>
      <c r="I40" s="1"/>
    </row>
    <row r="41" spans="1:9" x14ac:dyDescent="0.2">
      <c r="A41" s="1" t="s">
        <v>2</v>
      </c>
      <c r="B41" s="1" t="s">
        <v>153</v>
      </c>
      <c r="C41" s="1" t="s">
        <v>152</v>
      </c>
      <c r="D41" s="1">
        <v>12248</v>
      </c>
      <c r="E41" s="1">
        <v>5764</v>
      </c>
      <c r="F41" s="2">
        <v>15500</v>
      </c>
      <c r="G41" s="1" t="s">
        <v>144</v>
      </c>
      <c r="H41" s="1"/>
      <c r="I41" s="1"/>
    </row>
    <row r="42" spans="1:9" x14ac:dyDescent="0.2">
      <c r="A42" s="1">
        <v>2013</v>
      </c>
      <c r="B42" s="8" t="s">
        <v>154</v>
      </c>
      <c r="C42" s="1" t="s">
        <v>152</v>
      </c>
      <c r="D42" s="1">
        <v>32498</v>
      </c>
      <c r="E42" s="1">
        <v>15293</v>
      </c>
      <c r="F42" s="2">
        <v>31000</v>
      </c>
      <c r="G42" s="1" t="s">
        <v>144</v>
      </c>
      <c r="H42" s="1"/>
      <c r="I42" s="1"/>
    </row>
    <row r="43" spans="1:9" x14ac:dyDescent="0.2">
      <c r="A43" s="1" t="s">
        <v>2</v>
      </c>
      <c r="B43" s="1" t="s">
        <v>78</v>
      </c>
      <c r="C43" s="1" t="s">
        <v>79</v>
      </c>
      <c r="D43" s="1">
        <v>17490</v>
      </c>
      <c r="E43" s="1">
        <f>D43*0.55</f>
        <v>9619.5</v>
      </c>
      <c r="F43" s="2">
        <v>23000</v>
      </c>
      <c r="G43" s="1" t="s">
        <v>29</v>
      </c>
      <c r="H43" s="1"/>
      <c r="I43" s="1"/>
    </row>
    <row r="44" spans="1:9" x14ac:dyDescent="0.2">
      <c r="A44" s="1">
        <v>2012</v>
      </c>
      <c r="B44" s="1" t="s">
        <v>80</v>
      </c>
      <c r="C44" s="1" t="s">
        <v>79</v>
      </c>
      <c r="D44" s="1">
        <v>22990</v>
      </c>
      <c r="E44" s="1">
        <f>D44*0.55</f>
        <v>12644.500000000002</v>
      </c>
      <c r="F44" s="2">
        <v>28000</v>
      </c>
      <c r="G44" s="1" t="s">
        <v>29</v>
      </c>
      <c r="H44" s="1"/>
      <c r="I44" s="1"/>
    </row>
    <row r="45" spans="1:9" x14ac:dyDescent="0.2">
      <c r="A45" s="1" t="s">
        <v>2</v>
      </c>
      <c r="B45" s="1" t="s">
        <v>111</v>
      </c>
      <c r="C45" s="1" t="s">
        <v>110</v>
      </c>
      <c r="D45" s="1">
        <v>53850</v>
      </c>
      <c r="E45" s="1">
        <f>D45*0.8</f>
        <v>43080</v>
      </c>
      <c r="F45" s="2">
        <v>87000</v>
      </c>
      <c r="G45" s="1" t="s">
        <v>64</v>
      </c>
      <c r="H45" s="1"/>
      <c r="I45" s="1" t="s">
        <v>112</v>
      </c>
    </row>
    <row r="46" spans="1:9" x14ac:dyDescent="0.2">
      <c r="A46" s="1" t="s">
        <v>2</v>
      </c>
      <c r="B46" s="1" t="s">
        <v>113</v>
      </c>
      <c r="C46" s="1" t="s">
        <v>110</v>
      </c>
      <c r="D46" s="2">
        <v>14790</v>
      </c>
      <c r="E46" s="1">
        <f>D46*0.8</f>
        <v>11832</v>
      </c>
      <c r="F46" s="2">
        <v>24000</v>
      </c>
      <c r="G46" s="1" t="s">
        <v>64</v>
      </c>
      <c r="H46" s="1"/>
      <c r="I46" s="1"/>
    </row>
    <row r="47" spans="1:9" x14ac:dyDescent="0.2">
      <c r="A47" s="1" t="s">
        <v>2</v>
      </c>
      <c r="B47" s="1" t="s">
        <v>82</v>
      </c>
      <c r="C47" s="1" t="s">
        <v>81</v>
      </c>
      <c r="D47" s="1">
        <v>16490</v>
      </c>
      <c r="E47" s="1">
        <f>D47*0.55</f>
        <v>9069.5</v>
      </c>
      <c r="F47" s="2">
        <v>18900</v>
      </c>
      <c r="G47" s="1" t="s">
        <v>29</v>
      </c>
      <c r="H47" s="1"/>
      <c r="I47" s="1"/>
    </row>
    <row r="48" spans="1:9" x14ac:dyDescent="0.2">
      <c r="A48" s="1" t="s">
        <v>2</v>
      </c>
      <c r="B48" s="1" t="s">
        <v>83</v>
      </c>
      <c r="C48" s="1" t="s">
        <v>81</v>
      </c>
      <c r="D48" s="1">
        <v>22490</v>
      </c>
      <c r="E48" s="1">
        <f>D48*0.55</f>
        <v>12369.500000000002</v>
      </c>
      <c r="F48" s="2">
        <v>27500</v>
      </c>
      <c r="G48" s="1" t="s">
        <v>29</v>
      </c>
      <c r="H48" s="1"/>
      <c r="I48" s="1"/>
    </row>
    <row r="49" spans="1:9" x14ac:dyDescent="0.2">
      <c r="A49" s="1">
        <v>2016</v>
      </c>
      <c r="B49" s="1" t="s">
        <v>85</v>
      </c>
      <c r="C49" s="1" t="s">
        <v>84</v>
      </c>
      <c r="D49" s="1">
        <v>24490</v>
      </c>
      <c r="E49" s="1">
        <f>D49*0.55</f>
        <v>13469.500000000002</v>
      </c>
      <c r="F49" s="2">
        <v>29000</v>
      </c>
      <c r="G49" s="1" t="s">
        <v>29</v>
      </c>
      <c r="H49" s="1"/>
      <c r="I49" s="1"/>
    </row>
    <row r="50" spans="1:9" x14ac:dyDescent="0.2">
      <c r="A50" s="1" t="s">
        <v>2</v>
      </c>
      <c r="B50" s="1" t="s">
        <v>86</v>
      </c>
      <c r="C50" s="1" t="s">
        <v>84</v>
      </c>
      <c r="D50" s="2">
        <v>21990</v>
      </c>
      <c r="E50" s="1">
        <f>D50*0.55</f>
        <v>12094.500000000002</v>
      </c>
      <c r="F50" s="2">
        <v>27000</v>
      </c>
      <c r="G50" s="1" t="s">
        <v>29</v>
      </c>
      <c r="H50" s="1"/>
      <c r="I50" s="1" t="s">
        <v>21</v>
      </c>
    </row>
    <row r="51" spans="1:9" x14ac:dyDescent="0.2">
      <c r="A51" s="1" t="s">
        <v>2</v>
      </c>
      <c r="B51" s="1" t="s">
        <v>89</v>
      </c>
      <c r="C51" s="1" t="s">
        <v>88</v>
      </c>
      <c r="D51" s="1">
        <v>10737</v>
      </c>
      <c r="E51" s="1">
        <f>D51*0.6</f>
        <v>6442.2</v>
      </c>
      <c r="F51" s="2">
        <v>15500</v>
      </c>
      <c r="G51" s="1" t="s">
        <v>34</v>
      </c>
      <c r="H51" s="1"/>
      <c r="I51" s="1" t="s">
        <v>21</v>
      </c>
    </row>
    <row r="52" spans="1:9" x14ac:dyDescent="0.2">
      <c r="A52" s="1">
        <v>2018</v>
      </c>
      <c r="B52" s="1" t="s">
        <v>90</v>
      </c>
      <c r="C52" s="1" t="s">
        <v>88</v>
      </c>
      <c r="D52" s="1">
        <v>18352</v>
      </c>
      <c r="E52" s="1">
        <f>D52*0.6</f>
        <v>11011.199999999999</v>
      </c>
      <c r="F52" s="2">
        <v>24000</v>
      </c>
      <c r="G52" s="1" t="s">
        <v>34</v>
      </c>
      <c r="H52" s="1"/>
      <c r="I52" s="1"/>
    </row>
    <row r="53" spans="1:9" x14ac:dyDescent="0.2">
      <c r="A53" s="1" t="s">
        <v>2</v>
      </c>
      <c r="B53" s="1" t="s">
        <v>92</v>
      </c>
      <c r="C53" s="1" t="s">
        <v>91</v>
      </c>
      <c r="D53" s="1">
        <v>20090</v>
      </c>
      <c r="E53" s="1">
        <f>D53*0.6</f>
        <v>12054</v>
      </c>
      <c r="F53" s="2">
        <v>28000</v>
      </c>
      <c r="G53" s="1" t="s">
        <v>40</v>
      </c>
      <c r="H53" s="1"/>
      <c r="I53" s="1"/>
    </row>
    <row r="54" spans="1:9" x14ac:dyDescent="0.2">
      <c r="A54" s="1" t="s">
        <v>2</v>
      </c>
      <c r="B54" s="1" t="s">
        <v>97</v>
      </c>
      <c r="C54" s="1" t="s">
        <v>96</v>
      </c>
      <c r="D54" s="1">
        <v>7222</v>
      </c>
      <c r="E54" s="1">
        <v>3223</v>
      </c>
      <c r="F54" s="2">
        <v>8300</v>
      </c>
      <c r="G54" s="1" t="s">
        <v>99</v>
      </c>
      <c r="H54" s="1"/>
      <c r="I54" s="1" t="s">
        <v>98</v>
      </c>
    </row>
    <row r="55" spans="1:9" x14ac:dyDescent="0.2">
      <c r="A55" s="1">
        <v>2019</v>
      </c>
      <c r="B55" s="1" t="s">
        <v>100</v>
      </c>
      <c r="C55" s="1" t="s">
        <v>96</v>
      </c>
      <c r="D55" s="1">
        <v>18683</v>
      </c>
      <c r="E55" s="1">
        <v>8595</v>
      </c>
      <c r="F55" s="2">
        <v>19300</v>
      </c>
      <c r="G55" s="1" t="s">
        <v>99</v>
      </c>
      <c r="H55" s="1"/>
      <c r="I55" s="1"/>
    </row>
    <row r="56" spans="1:9" x14ac:dyDescent="0.2">
      <c r="A56" s="1">
        <v>2015</v>
      </c>
      <c r="B56" s="1" t="s">
        <v>101</v>
      </c>
      <c r="C56" s="1" t="s">
        <v>96</v>
      </c>
      <c r="D56" s="1">
        <v>40663</v>
      </c>
      <c r="E56" s="1">
        <v>18705</v>
      </c>
      <c r="F56" s="2">
        <v>43000</v>
      </c>
      <c r="G56" s="1" t="s">
        <v>99</v>
      </c>
      <c r="H56" s="1"/>
      <c r="I56" s="1"/>
    </row>
    <row r="57" spans="1:9" x14ac:dyDescent="0.2">
      <c r="A57" s="1" t="s">
        <v>2</v>
      </c>
      <c r="B57" s="1" t="s">
        <v>103</v>
      </c>
      <c r="C57" s="1" t="s">
        <v>102</v>
      </c>
      <c r="D57" s="1">
        <v>25748</v>
      </c>
      <c r="E57" s="2">
        <v>11845</v>
      </c>
      <c r="F57" s="2">
        <v>31000</v>
      </c>
      <c r="G57" s="1" t="s">
        <v>99</v>
      </c>
      <c r="H57" s="1"/>
      <c r="I57" s="1" t="s">
        <v>54</v>
      </c>
    </row>
    <row r="58" spans="1:9" x14ac:dyDescent="0.2">
      <c r="A58" s="1">
        <v>2018</v>
      </c>
      <c r="B58" s="1" t="s">
        <v>105</v>
      </c>
      <c r="C58" s="1" t="s">
        <v>104</v>
      </c>
      <c r="D58" s="1">
        <v>17040</v>
      </c>
      <c r="E58" s="1">
        <f>D58*0.6</f>
        <v>10224</v>
      </c>
      <c r="F58" s="2">
        <v>26000</v>
      </c>
      <c r="G58" s="1" t="s">
        <v>34</v>
      </c>
      <c r="H58" s="1"/>
      <c r="I58" s="1"/>
    </row>
    <row r="59" spans="1:9" x14ac:dyDescent="0.2">
      <c r="A59" s="1">
        <v>2018</v>
      </c>
      <c r="B59" s="1" t="s">
        <v>105</v>
      </c>
      <c r="C59" s="1" t="s">
        <v>104</v>
      </c>
      <c r="D59" s="1">
        <v>26414</v>
      </c>
      <c r="E59" s="1">
        <f>D59*0.6</f>
        <v>15848.4</v>
      </c>
      <c r="F59" s="2">
        <v>38000</v>
      </c>
      <c r="G59" s="1" t="s">
        <v>34</v>
      </c>
      <c r="H59" s="1"/>
      <c r="I59" s="1" t="s">
        <v>54</v>
      </c>
    </row>
    <row r="60" spans="1:9" x14ac:dyDescent="0.2">
      <c r="A60" s="38" t="s">
        <v>106</v>
      </c>
      <c r="B60" s="38"/>
      <c r="C60" s="38"/>
      <c r="D60" s="38"/>
      <c r="E60" s="4"/>
      <c r="F60" s="4"/>
      <c r="G60" s="4"/>
      <c r="H60" s="4"/>
      <c r="I60" s="4"/>
    </row>
    <row r="61" spans="1:9" x14ac:dyDescent="0.2">
      <c r="A61" s="1">
        <v>2020</v>
      </c>
      <c r="B61" s="1" t="s">
        <v>108</v>
      </c>
      <c r="C61" s="1" t="s">
        <v>107</v>
      </c>
      <c r="D61" s="1">
        <v>18170</v>
      </c>
      <c r="E61" s="1">
        <f>D61*0.8</f>
        <v>14536</v>
      </c>
      <c r="F61" s="2">
        <v>29000</v>
      </c>
      <c r="G61" s="1" t="s">
        <v>14</v>
      </c>
      <c r="H61" s="1"/>
      <c r="I61" s="1" t="s">
        <v>98</v>
      </c>
    </row>
    <row r="62" spans="1:9" x14ac:dyDescent="0.2">
      <c r="A62" s="1" t="s">
        <v>2</v>
      </c>
      <c r="B62" s="1" t="s">
        <v>109</v>
      </c>
      <c r="C62" s="1" t="s">
        <v>107</v>
      </c>
      <c r="D62" s="1">
        <v>3800</v>
      </c>
      <c r="E62" s="1">
        <f>D62*0.8</f>
        <v>3040</v>
      </c>
      <c r="F62" s="2">
        <v>7800</v>
      </c>
      <c r="G62" s="1" t="s">
        <v>14</v>
      </c>
      <c r="H62" s="1"/>
      <c r="I62" s="1"/>
    </row>
    <row r="63" spans="1:9" x14ac:dyDescent="0.2">
      <c r="A63" s="1" t="s">
        <v>2</v>
      </c>
      <c r="B63" s="1" t="s">
        <v>114</v>
      </c>
      <c r="C63" s="1" t="s">
        <v>115</v>
      </c>
      <c r="D63" s="1">
        <v>15380</v>
      </c>
      <c r="E63" s="1">
        <f>D63*0.8</f>
        <v>12304</v>
      </c>
      <c r="F63" s="2">
        <v>27500</v>
      </c>
      <c r="G63" s="1" t="s">
        <v>64</v>
      </c>
      <c r="H63" s="1"/>
      <c r="I63" s="1"/>
    </row>
    <row r="64" spans="1:9" x14ac:dyDescent="0.2">
      <c r="A64" s="1" t="s">
        <v>2</v>
      </c>
      <c r="B64" s="1" t="s">
        <v>114</v>
      </c>
      <c r="C64" s="1" t="s">
        <v>115</v>
      </c>
      <c r="D64" s="1">
        <v>33440</v>
      </c>
      <c r="E64" s="1">
        <f>D64*0.8</f>
        <v>26752</v>
      </c>
      <c r="F64" s="2">
        <v>58000</v>
      </c>
      <c r="G64" s="1" t="s">
        <v>64</v>
      </c>
      <c r="H64" s="1"/>
      <c r="I64" s="1" t="s">
        <v>54</v>
      </c>
    </row>
    <row r="65" spans="1:9" x14ac:dyDescent="0.2">
      <c r="A65" s="1">
        <v>2019</v>
      </c>
      <c r="B65" s="1" t="s">
        <v>116</v>
      </c>
      <c r="C65" s="1" t="s">
        <v>115</v>
      </c>
      <c r="D65" s="1">
        <v>37390</v>
      </c>
      <c r="E65" s="1">
        <f>D65*0.8</f>
        <v>29912</v>
      </c>
      <c r="F65" s="2">
        <v>62000</v>
      </c>
      <c r="G65" s="1" t="s">
        <v>64</v>
      </c>
      <c r="H65" s="1"/>
      <c r="I65" s="1"/>
    </row>
    <row r="66" spans="1:9" x14ac:dyDescent="0.2">
      <c r="A66" s="1" t="s">
        <v>2</v>
      </c>
      <c r="B66" s="1" t="s">
        <v>118</v>
      </c>
      <c r="C66" s="1" t="s">
        <v>117</v>
      </c>
      <c r="D66" s="1">
        <v>11440</v>
      </c>
      <c r="E66" s="1">
        <f>D66*0.65</f>
        <v>7436</v>
      </c>
      <c r="F66" s="2">
        <v>17500</v>
      </c>
      <c r="G66" s="1" t="s">
        <v>18</v>
      </c>
      <c r="H66" s="1"/>
      <c r="I66" s="1"/>
    </row>
    <row r="67" spans="1:9" x14ac:dyDescent="0.2">
      <c r="A67" s="1" t="s">
        <v>2</v>
      </c>
      <c r="B67" s="5" t="s">
        <v>120</v>
      </c>
      <c r="C67" s="5" t="s">
        <v>119</v>
      </c>
      <c r="D67" s="1">
        <v>8770</v>
      </c>
      <c r="E67" s="1">
        <f>D67*0.85</f>
        <v>7454.5</v>
      </c>
      <c r="F67" s="2">
        <v>17500</v>
      </c>
      <c r="G67" s="1" t="s">
        <v>30</v>
      </c>
      <c r="H67" s="1"/>
      <c r="I67" s="1"/>
    </row>
    <row r="68" spans="1:9" x14ac:dyDescent="0.2">
      <c r="A68" s="1" t="s">
        <v>2</v>
      </c>
      <c r="B68" s="1" t="s">
        <v>122</v>
      </c>
      <c r="C68" s="1" t="s">
        <v>121</v>
      </c>
      <c r="D68" s="1">
        <v>35066</v>
      </c>
      <c r="E68" s="1">
        <f>D68*0.6</f>
        <v>21039.599999999999</v>
      </c>
      <c r="F68" s="2">
        <v>43000</v>
      </c>
      <c r="G68" s="1" t="s">
        <v>34</v>
      </c>
      <c r="H68" s="1"/>
      <c r="I68" s="1"/>
    </row>
    <row r="69" spans="1:9" x14ac:dyDescent="0.2">
      <c r="A69" s="1">
        <v>2017</v>
      </c>
      <c r="B69" s="16" t="s">
        <v>123</v>
      </c>
      <c r="C69" s="1" t="s">
        <v>121</v>
      </c>
      <c r="D69" s="1">
        <v>42488</v>
      </c>
      <c r="E69" s="1">
        <f>D69*0.6</f>
        <v>25492.799999999999</v>
      </c>
      <c r="F69" s="2">
        <v>52000</v>
      </c>
      <c r="G69" s="1" t="s">
        <v>34</v>
      </c>
      <c r="H69" s="1"/>
      <c r="I69" s="1"/>
    </row>
    <row r="70" spans="1:9" x14ac:dyDescent="0.2">
      <c r="A70" s="1" t="s">
        <v>2</v>
      </c>
      <c r="B70" s="17" t="s">
        <v>125</v>
      </c>
      <c r="C70" s="17" t="s">
        <v>124</v>
      </c>
      <c r="D70" s="1">
        <v>30359</v>
      </c>
      <c r="E70" s="1">
        <f>D70*0.6</f>
        <v>18215.399999999998</v>
      </c>
      <c r="F70" s="2">
        <v>39000</v>
      </c>
      <c r="G70" s="1" t="s">
        <v>34</v>
      </c>
      <c r="H70" s="1"/>
      <c r="I70" s="1"/>
    </row>
    <row r="71" spans="1:9" x14ac:dyDescent="0.2">
      <c r="A71" s="1" t="s">
        <v>2</v>
      </c>
      <c r="B71" s="1" t="s">
        <v>127</v>
      </c>
      <c r="C71" s="1" t="s">
        <v>126</v>
      </c>
      <c r="D71" s="1">
        <v>17140</v>
      </c>
      <c r="E71" s="1">
        <f>D71*0.8</f>
        <v>13712</v>
      </c>
      <c r="F71" s="2">
        <v>29500</v>
      </c>
      <c r="G71" s="1" t="s">
        <v>64</v>
      </c>
      <c r="H71" s="1"/>
      <c r="I71" s="1"/>
    </row>
    <row r="72" spans="1:9" x14ac:dyDescent="0.2">
      <c r="A72" s="1" t="s">
        <v>2</v>
      </c>
      <c r="B72" s="1" t="s">
        <v>128</v>
      </c>
      <c r="C72" s="1" t="s">
        <v>126</v>
      </c>
      <c r="D72" s="2">
        <v>29260</v>
      </c>
      <c r="E72" s="1">
        <f>D72*0.8</f>
        <v>23408</v>
      </c>
      <c r="F72" s="2">
        <v>52000</v>
      </c>
      <c r="G72" s="1" t="s">
        <v>64</v>
      </c>
      <c r="H72" s="1"/>
      <c r="I72" s="1"/>
    </row>
    <row r="73" spans="1:9" x14ac:dyDescent="0.2">
      <c r="A73" s="1">
        <v>2011</v>
      </c>
      <c r="B73" s="28" t="s">
        <v>380</v>
      </c>
      <c r="C73" s="28" t="s">
        <v>379</v>
      </c>
      <c r="D73" s="2">
        <v>40000</v>
      </c>
      <c r="E73" s="1">
        <v>19500</v>
      </c>
      <c r="F73" s="2">
        <v>48000</v>
      </c>
      <c r="G73" s="1" t="s">
        <v>175</v>
      </c>
      <c r="H73" s="1"/>
      <c r="I73" s="1"/>
    </row>
    <row r="74" spans="1:9" x14ac:dyDescent="0.2">
      <c r="A74" s="1">
        <v>2022</v>
      </c>
      <c r="B74" s="1" t="s">
        <v>131</v>
      </c>
      <c r="C74" s="1" t="s">
        <v>130</v>
      </c>
      <c r="D74" s="1">
        <v>14050</v>
      </c>
      <c r="E74" s="1">
        <f>D74*0.8</f>
        <v>11240</v>
      </c>
      <c r="F74" s="2">
        <v>28000</v>
      </c>
      <c r="G74" s="1" t="s">
        <v>14</v>
      </c>
      <c r="H74" s="1"/>
      <c r="I74" s="1"/>
    </row>
    <row r="75" spans="1:9" x14ac:dyDescent="0.2">
      <c r="A75" s="1">
        <v>2019</v>
      </c>
      <c r="B75" s="1" t="s">
        <v>133</v>
      </c>
      <c r="C75" s="1" t="s">
        <v>132</v>
      </c>
      <c r="D75" s="1">
        <v>10480</v>
      </c>
      <c r="E75" s="1">
        <f>D75*0.8</f>
        <v>8384</v>
      </c>
      <c r="F75" s="2">
        <v>18500</v>
      </c>
      <c r="G75" s="1" t="s">
        <v>14</v>
      </c>
      <c r="H75" s="1"/>
      <c r="I75" s="1"/>
    </row>
    <row r="76" spans="1:9" x14ac:dyDescent="0.2">
      <c r="A76" s="1">
        <v>2020</v>
      </c>
      <c r="B76" s="1" t="s">
        <v>134</v>
      </c>
      <c r="C76" s="1" t="s">
        <v>132</v>
      </c>
      <c r="D76" s="1">
        <v>8110</v>
      </c>
      <c r="E76" s="1">
        <f>D76*0.8</f>
        <v>6488</v>
      </c>
      <c r="F76" s="2">
        <v>17000</v>
      </c>
      <c r="G76" s="1" t="s">
        <v>14</v>
      </c>
      <c r="H76" s="1"/>
      <c r="I76" s="1"/>
    </row>
    <row r="77" spans="1:9" x14ac:dyDescent="0.2">
      <c r="A77" s="1" t="s">
        <v>2</v>
      </c>
      <c r="B77" s="1" t="s">
        <v>136</v>
      </c>
      <c r="C77" s="1" t="s">
        <v>135</v>
      </c>
      <c r="D77" s="1">
        <v>13490</v>
      </c>
      <c r="E77" s="1">
        <f>D77*0.55</f>
        <v>7419.5000000000009</v>
      </c>
      <c r="F77" s="2">
        <v>17000</v>
      </c>
      <c r="G77" s="1" t="s">
        <v>29</v>
      </c>
      <c r="H77" s="1"/>
      <c r="I77" s="1"/>
    </row>
    <row r="78" spans="1:9" x14ac:dyDescent="0.2">
      <c r="A78" s="1" t="s">
        <v>2</v>
      </c>
      <c r="B78" s="5" t="s">
        <v>95</v>
      </c>
      <c r="C78" s="5" t="s">
        <v>94</v>
      </c>
      <c r="D78" s="1"/>
      <c r="E78" s="1">
        <v>5514</v>
      </c>
      <c r="F78" s="2">
        <v>13500</v>
      </c>
      <c r="G78" s="1" t="s">
        <v>12</v>
      </c>
      <c r="H78" s="1"/>
      <c r="I78" s="1"/>
    </row>
    <row r="79" spans="1:9" x14ac:dyDescent="0.2">
      <c r="A79" s="8">
        <v>2019</v>
      </c>
      <c r="B79" s="5" t="s">
        <v>138</v>
      </c>
      <c r="C79" s="5" t="s">
        <v>137</v>
      </c>
      <c r="D79" s="1"/>
      <c r="E79" s="2">
        <v>16194</v>
      </c>
      <c r="F79" s="2">
        <v>32000</v>
      </c>
      <c r="G79" s="1" t="s">
        <v>12</v>
      </c>
      <c r="H79" s="1"/>
      <c r="I79" s="1"/>
    </row>
    <row r="80" spans="1:9" x14ac:dyDescent="0.2">
      <c r="A80" s="8">
        <v>2020</v>
      </c>
      <c r="B80" s="14" t="s">
        <v>139</v>
      </c>
      <c r="C80" s="14" t="s">
        <v>137</v>
      </c>
      <c r="D80" s="11"/>
      <c r="E80" s="15">
        <v>16740</v>
      </c>
      <c r="F80" s="15">
        <v>32000</v>
      </c>
      <c r="G80" s="11" t="s">
        <v>12</v>
      </c>
      <c r="H80" s="11"/>
      <c r="I80" s="11" t="s">
        <v>21</v>
      </c>
    </row>
    <row r="81" spans="1:9" x14ac:dyDescent="0.2">
      <c r="A81" s="1" t="s">
        <v>2</v>
      </c>
      <c r="B81" s="1" t="s">
        <v>141</v>
      </c>
      <c r="C81" s="1" t="s">
        <v>140</v>
      </c>
      <c r="D81" s="1">
        <v>33948</v>
      </c>
      <c r="E81" s="1">
        <f>D81*0.6</f>
        <v>20368.8</v>
      </c>
      <c r="F81" s="2">
        <v>41000</v>
      </c>
      <c r="G81" s="1" t="s">
        <v>34</v>
      </c>
      <c r="H81" s="1"/>
      <c r="I81" s="1"/>
    </row>
    <row r="82" spans="1:9" x14ac:dyDescent="0.2">
      <c r="A82" s="1">
        <v>2020</v>
      </c>
      <c r="B82" s="1" t="s">
        <v>146</v>
      </c>
      <c r="C82" s="1" t="s">
        <v>145</v>
      </c>
      <c r="D82" s="1">
        <v>588000</v>
      </c>
      <c r="E82" s="1">
        <f>D82*0.9</f>
        <v>529200</v>
      </c>
      <c r="F82" s="2">
        <v>900000</v>
      </c>
      <c r="G82" s="1" t="s">
        <v>64</v>
      </c>
      <c r="H82" s="1"/>
      <c r="I82" s="1" t="s">
        <v>147</v>
      </c>
    </row>
    <row r="83" spans="1:9" x14ac:dyDescent="0.2">
      <c r="A83" s="1">
        <v>2022</v>
      </c>
      <c r="B83" s="1" t="s">
        <v>149</v>
      </c>
      <c r="C83" s="1" t="s">
        <v>148</v>
      </c>
      <c r="D83" s="1">
        <v>8140</v>
      </c>
      <c r="E83" s="1">
        <f>D83*0.8</f>
        <v>6512</v>
      </c>
      <c r="F83" s="2">
        <v>16800</v>
      </c>
      <c r="G83" s="1" t="s">
        <v>14</v>
      </c>
      <c r="H83" s="1"/>
      <c r="I83" s="1"/>
    </row>
    <row r="84" spans="1:9" x14ac:dyDescent="0.2">
      <c r="A84" s="1">
        <v>2022</v>
      </c>
      <c r="B84" s="1" t="s">
        <v>151</v>
      </c>
      <c r="C84" s="1" t="s">
        <v>150</v>
      </c>
      <c r="D84" s="1">
        <v>20610</v>
      </c>
      <c r="E84" s="1">
        <f>D84*0.8</f>
        <v>16488</v>
      </c>
      <c r="F84" s="2">
        <v>43000</v>
      </c>
      <c r="G84" s="1" t="s">
        <v>14</v>
      </c>
      <c r="H84" s="1"/>
      <c r="I84" s="1" t="s">
        <v>54</v>
      </c>
    </row>
    <row r="85" spans="1:9" x14ac:dyDescent="0.2">
      <c r="A85" s="1">
        <v>2019</v>
      </c>
      <c r="B85" s="1" t="s">
        <v>155</v>
      </c>
      <c r="C85" s="1" t="s">
        <v>129</v>
      </c>
      <c r="D85" s="1">
        <v>17380</v>
      </c>
      <c r="E85" s="1">
        <f>D85*0.8</f>
        <v>13904</v>
      </c>
      <c r="F85" s="2">
        <v>29000</v>
      </c>
      <c r="G85" s="1" t="s">
        <v>14</v>
      </c>
      <c r="H85" s="1"/>
      <c r="I85" s="1"/>
    </row>
    <row r="86" spans="1:9" x14ac:dyDescent="0.2">
      <c r="A86" s="1">
        <v>2021</v>
      </c>
      <c r="B86" s="1" t="s">
        <v>156</v>
      </c>
      <c r="C86" s="1" t="s">
        <v>129</v>
      </c>
      <c r="D86" s="1">
        <v>9420</v>
      </c>
      <c r="E86" s="1">
        <f>D86*0.8</f>
        <v>7536</v>
      </c>
      <c r="F86" s="2">
        <v>16000</v>
      </c>
      <c r="G86" s="1" t="s">
        <v>14</v>
      </c>
      <c r="H86" s="1"/>
      <c r="I86" s="1"/>
    </row>
    <row r="87" spans="1:9" x14ac:dyDescent="0.2">
      <c r="A87" s="1" t="s">
        <v>2</v>
      </c>
      <c r="B87" s="1" t="s">
        <v>158</v>
      </c>
      <c r="C87" s="1" t="s">
        <v>157</v>
      </c>
      <c r="D87" s="1">
        <v>20346</v>
      </c>
      <c r="E87" s="1">
        <v>9360</v>
      </c>
      <c r="F87" s="2">
        <v>18500</v>
      </c>
      <c r="G87" s="1" t="s">
        <v>99</v>
      </c>
      <c r="H87" s="1"/>
      <c r="I87" s="1"/>
    </row>
    <row r="88" spans="1:9" x14ac:dyDescent="0.2">
      <c r="A88" s="1" t="s">
        <v>2</v>
      </c>
      <c r="B88" s="5" t="s">
        <v>160</v>
      </c>
      <c r="C88" s="5" t="s">
        <v>159</v>
      </c>
      <c r="D88" s="1">
        <v>12400</v>
      </c>
      <c r="E88" s="1">
        <f>D88*0.6</f>
        <v>7440</v>
      </c>
      <c r="F88" s="2">
        <v>17500</v>
      </c>
      <c r="G88" s="1" t="s">
        <v>12</v>
      </c>
      <c r="H88" s="1"/>
      <c r="I88" s="1"/>
    </row>
    <row r="89" spans="1:9" x14ac:dyDescent="0.2">
      <c r="A89" s="1">
        <v>2021</v>
      </c>
      <c r="B89" s="5" t="s">
        <v>161</v>
      </c>
      <c r="C89" s="5" t="s">
        <v>159</v>
      </c>
      <c r="D89" s="1">
        <v>15600</v>
      </c>
      <c r="E89" s="1">
        <f>D89*0.6</f>
        <v>9360</v>
      </c>
      <c r="F89" s="2">
        <v>24000</v>
      </c>
      <c r="G89" s="1" t="s">
        <v>12</v>
      </c>
      <c r="H89" s="1"/>
      <c r="I89" s="1"/>
    </row>
    <row r="90" spans="1:9" x14ac:dyDescent="0.2">
      <c r="A90" s="32" t="s">
        <v>162</v>
      </c>
      <c r="B90" s="32"/>
      <c r="C90" s="32"/>
      <c r="D90" s="32"/>
      <c r="E90" s="4"/>
      <c r="F90" s="4"/>
      <c r="G90" s="4"/>
      <c r="H90" s="4"/>
      <c r="I90" s="4"/>
    </row>
    <row r="91" spans="1:9" x14ac:dyDescent="0.2">
      <c r="A91" s="1">
        <v>2022</v>
      </c>
      <c r="B91" s="1" t="s">
        <v>164</v>
      </c>
      <c r="C91" s="1" t="s">
        <v>163</v>
      </c>
      <c r="D91" s="1">
        <v>22760</v>
      </c>
      <c r="E91" s="1">
        <f>D91*0.7</f>
        <v>15931.999999999998</v>
      </c>
      <c r="F91" s="2">
        <v>32000</v>
      </c>
      <c r="G91" s="1" t="s">
        <v>18</v>
      </c>
      <c r="H91" s="1"/>
      <c r="I91" s="1"/>
    </row>
    <row r="92" spans="1:9" x14ac:dyDescent="0.2">
      <c r="A92" s="1">
        <v>2024</v>
      </c>
      <c r="B92" s="1" t="s">
        <v>165</v>
      </c>
      <c r="C92" s="1" t="s">
        <v>166</v>
      </c>
      <c r="D92" s="1">
        <v>7020</v>
      </c>
      <c r="E92" s="1">
        <f>D92*0.65</f>
        <v>4563</v>
      </c>
      <c r="F92" s="2">
        <v>12000</v>
      </c>
      <c r="G92" s="1" t="s">
        <v>18</v>
      </c>
      <c r="H92" s="1"/>
      <c r="I92" s="1"/>
    </row>
    <row r="93" spans="1:9" x14ac:dyDescent="0.2">
      <c r="A93" s="1">
        <v>2022</v>
      </c>
      <c r="B93" s="5" t="s">
        <v>168</v>
      </c>
      <c r="C93" s="5" t="s">
        <v>167</v>
      </c>
      <c r="D93" s="1">
        <v>7290</v>
      </c>
      <c r="E93" s="1">
        <f>D93*0.85</f>
        <v>6196.5</v>
      </c>
      <c r="F93" s="2">
        <v>14500</v>
      </c>
      <c r="G93" s="1" t="s">
        <v>30</v>
      </c>
      <c r="H93" s="1"/>
      <c r="I93" s="1"/>
    </row>
    <row r="94" spans="1:9" x14ac:dyDescent="0.2">
      <c r="A94" s="37" t="s">
        <v>169</v>
      </c>
      <c r="B94" s="37"/>
      <c r="C94" s="37"/>
      <c r="D94" s="37"/>
      <c r="E94" s="4"/>
      <c r="F94" s="4"/>
      <c r="G94" s="4"/>
      <c r="H94" s="4"/>
      <c r="I94" s="4"/>
    </row>
    <row r="95" spans="1:9" x14ac:dyDescent="0.2">
      <c r="A95" s="1">
        <v>2022</v>
      </c>
      <c r="B95" s="19" t="s">
        <v>171</v>
      </c>
      <c r="C95" s="18" t="s">
        <v>170</v>
      </c>
      <c r="D95" s="1">
        <v>4630</v>
      </c>
      <c r="E95" s="1">
        <f>D95*0.85</f>
        <v>3935.5</v>
      </c>
      <c r="F95" s="2">
        <v>9000</v>
      </c>
      <c r="G95" s="1" t="s">
        <v>64</v>
      </c>
      <c r="H95" s="1"/>
      <c r="I95" s="1"/>
    </row>
    <row r="96" spans="1:9" x14ac:dyDescent="0.2">
      <c r="A96" s="1">
        <v>2021</v>
      </c>
      <c r="B96" s="17" t="s">
        <v>173</v>
      </c>
      <c r="C96" s="17" t="s">
        <v>172</v>
      </c>
      <c r="D96" s="1">
        <v>2200</v>
      </c>
      <c r="E96" s="1">
        <f>D96*0.85</f>
        <v>1870</v>
      </c>
      <c r="F96" s="2">
        <v>6500</v>
      </c>
      <c r="G96" s="1" t="s">
        <v>30</v>
      </c>
      <c r="H96" s="1"/>
      <c r="I96" s="1"/>
    </row>
    <row r="97" spans="1:9" x14ac:dyDescent="0.2">
      <c r="A97" s="1">
        <v>2021</v>
      </c>
      <c r="B97" s="17" t="s">
        <v>176</v>
      </c>
      <c r="C97" s="17" t="s">
        <v>174</v>
      </c>
      <c r="D97" s="1">
        <v>18300</v>
      </c>
      <c r="E97" s="1">
        <v>9150</v>
      </c>
      <c r="F97" s="2">
        <v>24000</v>
      </c>
      <c r="G97" s="1" t="s">
        <v>175</v>
      </c>
      <c r="H97" s="1"/>
      <c r="I97" s="1" t="s">
        <v>54</v>
      </c>
    </row>
    <row r="98" spans="1:9" x14ac:dyDescent="0.2">
      <c r="A98" s="32" t="s">
        <v>177</v>
      </c>
      <c r="B98" s="32"/>
      <c r="C98" s="32"/>
      <c r="D98" s="32"/>
      <c r="E98" s="4"/>
      <c r="F98" s="4"/>
      <c r="G98" s="4"/>
      <c r="H98" s="4"/>
      <c r="I98" s="4"/>
    </row>
    <row r="99" spans="1:9" x14ac:dyDescent="0.2">
      <c r="A99" s="1">
        <v>2019</v>
      </c>
      <c r="B99" s="1" t="s">
        <v>179</v>
      </c>
      <c r="C99" s="1" t="s">
        <v>178</v>
      </c>
      <c r="D99" s="1">
        <v>22490</v>
      </c>
      <c r="E99" s="1">
        <f>D99*0.55</f>
        <v>12369.500000000002</v>
      </c>
      <c r="F99" s="2">
        <v>28000</v>
      </c>
      <c r="G99" s="1" t="s">
        <v>29</v>
      </c>
      <c r="H99" s="1"/>
      <c r="I99" s="1"/>
    </row>
    <row r="100" spans="1:9" x14ac:dyDescent="0.2">
      <c r="A100" s="32" t="s">
        <v>182</v>
      </c>
      <c r="B100" s="32"/>
      <c r="C100" s="32"/>
      <c r="D100" s="32"/>
      <c r="E100" s="4"/>
      <c r="F100" s="4"/>
      <c r="G100" s="4"/>
      <c r="H100" s="4"/>
      <c r="I100" s="4"/>
    </row>
    <row r="101" spans="1:9" x14ac:dyDescent="0.2">
      <c r="A101" s="1">
        <v>2022</v>
      </c>
      <c r="B101" s="7" t="s">
        <v>181</v>
      </c>
      <c r="C101" s="7" t="s">
        <v>180</v>
      </c>
      <c r="D101" s="1">
        <v>7990</v>
      </c>
      <c r="E101" s="1">
        <f>D101*0.55</f>
        <v>4394.5</v>
      </c>
      <c r="F101" s="2">
        <v>11000</v>
      </c>
      <c r="G101" s="1" t="s">
        <v>29</v>
      </c>
      <c r="H101" s="1"/>
      <c r="I101" s="1"/>
    </row>
    <row r="102" spans="1:9" x14ac:dyDescent="0.2">
      <c r="A102" s="32" t="s">
        <v>183</v>
      </c>
      <c r="B102" s="32"/>
      <c r="C102" s="32"/>
      <c r="D102" s="32"/>
      <c r="E102" s="4"/>
      <c r="F102" s="4"/>
      <c r="G102" s="4"/>
      <c r="H102" s="4"/>
      <c r="I102" s="4"/>
    </row>
    <row r="103" spans="1:9" x14ac:dyDescent="0.2">
      <c r="A103" s="1">
        <v>2021</v>
      </c>
      <c r="B103" s="5" t="s">
        <v>185</v>
      </c>
      <c r="C103" s="1" t="s">
        <v>184</v>
      </c>
      <c r="D103" s="1">
        <v>9520</v>
      </c>
      <c r="E103" s="1">
        <f>D103*0.6</f>
        <v>5712</v>
      </c>
      <c r="F103" s="2">
        <v>13000</v>
      </c>
      <c r="G103" s="1" t="s">
        <v>40</v>
      </c>
      <c r="H103" s="1"/>
      <c r="I103" s="1"/>
    </row>
    <row r="104" spans="1:9" x14ac:dyDescent="0.2">
      <c r="A104" s="1">
        <v>2022</v>
      </c>
      <c r="B104" s="5" t="s">
        <v>187</v>
      </c>
      <c r="C104" s="5" t="s">
        <v>186</v>
      </c>
      <c r="D104" s="1">
        <v>29540</v>
      </c>
      <c r="E104" s="1">
        <f>D104*0.6</f>
        <v>17724</v>
      </c>
      <c r="F104" s="2">
        <v>39000</v>
      </c>
      <c r="G104" s="1" t="s">
        <v>40</v>
      </c>
      <c r="H104" s="1"/>
      <c r="I104" s="1"/>
    </row>
    <row r="105" spans="1:9" ht="17" x14ac:dyDescent="0.2">
      <c r="A105" s="1">
        <v>2022</v>
      </c>
      <c r="B105" s="1" t="s">
        <v>188</v>
      </c>
      <c r="C105" s="20" t="s">
        <v>189</v>
      </c>
      <c r="D105" s="1">
        <v>6350</v>
      </c>
      <c r="E105" s="1">
        <f>D105*0.65</f>
        <v>4127.5</v>
      </c>
      <c r="F105" s="1">
        <v>9500</v>
      </c>
      <c r="G105" s="1" t="s">
        <v>18</v>
      </c>
      <c r="H105" s="1"/>
      <c r="I105" s="1"/>
    </row>
    <row r="106" spans="1:9" ht="16" customHeight="1" x14ac:dyDescent="0.2">
      <c r="A106" s="1">
        <v>2023</v>
      </c>
      <c r="B106" s="1" t="s">
        <v>202</v>
      </c>
      <c r="C106" s="20" t="s">
        <v>201</v>
      </c>
      <c r="D106" s="1">
        <v>11730</v>
      </c>
      <c r="E106" s="1">
        <f>D106*0.8</f>
        <v>9384</v>
      </c>
      <c r="F106" s="1">
        <v>23000</v>
      </c>
      <c r="G106" s="1" t="s">
        <v>14</v>
      </c>
      <c r="H106" s="1"/>
      <c r="I106" s="1"/>
    </row>
    <row r="107" spans="1:9" x14ac:dyDescent="0.2">
      <c r="A107" s="1">
        <v>2022</v>
      </c>
      <c r="B107" s="1" t="s">
        <v>200</v>
      </c>
      <c r="C107" s="17" t="s">
        <v>199</v>
      </c>
      <c r="D107" s="1">
        <v>7023</v>
      </c>
      <c r="E107" s="1">
        <v>3305</v>
      </c>
      <c r="F107" s="2">
        <v>8900</v>
      </c>
      <c r="G107" s="1" t="s">
        <v>144</v>
      </c>
      <c r="H107" s="1"/>
      <c r="I107" s="1"/>
    </row>
    <row r="108" spans="1:9" x14ac:dyDescent="0.2">
      <c r="A108" s="1">
        <v>2022</v>
      </c>
      <c r="B108" s="17" t="s">
        <v>191</v>
      </c>
      <c r="C108" s="17" t="s">
        <v>190</v>
      </c>
      <c r="D108" s="2">
        <v>18200</v>
      </c>
      <c r="E108" s="1">
        <v>9100</v>
      </c>
      <c r="F108" s="2">
        <v>21000</v>
      </c>
      <c r="G108" s="1" t="s">
        <v>175</v>
      </c>
      <c r="H108" s="1"/>
      <c r="I108" s="1"/>
    </row>
    <row r="109" spans="1:9" x14ac:dyDescent="0.2">
      <c r="A109" s="1">
        <v>2022</v>
      </c>
      <c r="B109" s="28" t="s">
        <v>221</v>
      </c>
      <c r="C109" s="28" t="s">
        <v>220</v>
      </c>
      <c r="D109" s="1">
        <v>30000</v>
      </c>
      <c r="E109" s="1">
        <v>15000</v>
      </c>
      <c r="F109" s="2">
        <v>29000</v>
      </c>
      <c r="G109" s="1" t="s">
        <v>175</v>
      </c>
      <c r="H109" s="1"/>
      <c r="I109" s="1"/>
    </row>
    <row r="110" spans="1:9" x14ac:dyDescent="0.2">
      <c r="A110" s="1">
        <v>2018</v>
      </c>
      <c r="B110" s="17" t="s">
        <v>193</v>
      </c>
      <c r="C110" s="17" t="s">
        <v>192</v>
      </c>
      <c r="D110" s="2">
        <v>87894</v>
      </c>
      <c r="E110" s="1">
        <f>D110*0.6</f>
        <v>52736.4</v>
      </c>
      <c r="F110" s="2">
        <v>97000</v>
      </c>
      <c r="G110" s="1" t="s">
        <v>34</v>
      </c>
      <c r="H110" s="1"/>
      <c r="I110" s="1"/>
    </row>
    <row r="111" spans="1:9" ht="17" x14ac:dyDescent="0.2">
      <c r="A111" s="1">
        <v>2023</v>
      </c>
      <c r="B111" s="1" t="s">
        <v>229</v>
      </c>
      <c r="C111" s="20" t="s">
        <v>194</v>
      </c>
      <c r="D111" s="1">
        <v>8480</v>
      </c>
      <c r="E111" s="1">
        <f>D111*0.65</f>
        <v>5512</v>
      </c>
      <c r="F111" s="2">
        <v>14500</v>
      </c>
      <c r="G111" s="1" t="s">
        <v>18</v>
      </c>
      <c r="H111" s="1"/>
      <c r="I111" s="1"/>
    </row>
    <row r="112" spans="1:9" x14ac:dyDescent="0.2">
      <c r="A112" s="1">
        <v>2021</v>
      </c>
      <c r="B112" s="17" t="s">
        <v>196</v>
      </c>
      <c r="C112" s="17" t="s">
        <v>195</v>
      </c>
      <c r="D112" s="2">
        <v>12600</v>
      </c>
      <c r="E112" s="1">
        <f>D112*0.85</f>
        <v>10710</v>
      </c>
      <c r="F112" s="2">
        <v>26000</v>
      </c>
      <c r="G112" s="1" t="s">
        <v>197</v>
      </c>
      <c r="H112" s="1"/>
      <c r="I112" s="1"/>
    </row>
    <row r="113" spans="1:9" x14ac:dyDescent="0.2">
      <c r="A113" s="32" t="s">
        <v>198</v>
      </c>
      <c r="B113" s="32"/>
      <c r="C113" s="32"/>
      <c r="D113" s="32"/>
      <c r="E113" s="4"/>
      <c r="F113" s="4"/>
      <c r="G113" s="4"/>
      <c r="H113" s="4"/>
      <c r="I113" s="4"/>
    </row>
    <row r="114" spans="1:9" x14ac:dyDescent="0.2">
      <c r="A114" s="1">
        <v>2023</v>
      </c>
      <c r="B114" s="17" t="s">
        <v>204</v>
      </c>
      <c r="C114" s="17" t="s">
        <v>203</v>
      </c>
      <c r="D114" s="1">
        <v>6450</v>
      </c>
      <c r="E114" s="1">
        <v>3036</v>
      </c>
      <c r="F114" s="2">
        <v>9000</v>
      </c>
      <c r="G114" s="1" t="s">
        <v>144</v>
      </c>
      <c r="H114" s="1"/>
      <c r="I114" s="1"/>
    </row>
    <row r="115" spans="1:9" x14ac:dyDescent="0.2">
      <c r="A115" s="1">
        <v>2021</v>
      </c>
      <c r="B115" s="1" t="s">
        <v>206</v>
      </c>
      <c r="C115" s="1" t="s">
        <v>205</v>
      </c>
      <c r="D115" s="1">
        <v>65358</v>
      </c>
      <c r="E115" s="1">
        <v>30650</v>
      </c>
      <c r="F115" s="2">
        <v>58000</v>
      </c>
      <c r="G115" s="1" t="s">
        <v>99</v>
      </c>
      <c r="H115" s="1"/>
      <c r="I115" s="1"/>
    </row>
    <row r="116" spans="1:9" x14ac:dyDescent="0.2">
      <c r="A116" s="1">
        <v>2016</v>
      </c>
      <c r="B116" s="17" t="s">
        <v>208</v>
      </c>
      <c r="C116" s="17" t="s">
        <v>207</v>
      </c>
      <c r="D116" s="1">
        <v>20355</v>
      </c>
      <c r="E116" s="1">
        <f>D116*0.6</f>
        <v>12213</v>
      </c>
      <c r="F116" s="2">
        <v>27000</v>
      </c>
      <c r="G116" s="1" t="s">
        <v>209</v>
      </c>
      <c r="H116" s="1"/>
      <c r="I116" s="1"/>
    </row>
    <row r="117" spans="1:9" x14ac:dyDescent="0.2">
      <c r="A117" s="1">
        <v>2014</v>
      </c>
      <c r="B117" s="17" t="s">
        <v>210</v>
      </c>
      <c r="C117" s="7" t="s">
        <v>211</v>
      </c>
      <c r="D117" s="1">
        <v>115508</v>
      </c>
      <c r="E117" s="21">
        <f>D117*0.6</f>
        <v>69304.800000000003</v>
      </c>
      <c r="F117" s="2">
        <v>148000</v>
      </c>
      <c r="G117" s="1" t="s">
        <v>209</v>
      </c>
      <c r="H117" s="1"/>
      <c r="I117" s="1"/>
    </row>
    <row r="118" spans="1:9" x14ac:dyDescent="0.2">
      <c r="A118" s="1">
        <v>2016</v>
      </c>
      <c r="B118" s="17" t="s">
        <v>213</v>
      </c>
      <c r="C118" s="17" t="s">
        <v>212</v>
      </c>
      <c r="D118" s="1">
        <v>30217</v>
      </c>
      <c r="E118" s="21">
        <f>D118*0.6</f>
        <v>18130.2</v>
      </c>
      <c r="F118" s="2">
        <v>42000</v>
      </c>
      <c r="G118" s="1" t="s">
        <v>209</v>
      </c>
      <c r="H118" s="1"/>
      <c r="I118" s="1"/>
    </row>
    <row r="119" spans="1:9" x14ac:dyDescent="0.2">
      <c r="A119" s="1">
        <v>2022</v>
      </c>
      <c r="B119" s="1" t="s">
        <v>215</v>
      </c>
      <c r="C119" s="1" t="s">
        <v>214</v>
      </c>
      <c r="D119" s="1">
        <v>38130</v>
      </c>
      <c r="E119" s="1">
        <f>D119*0.65</f>
        <v>24784.5</v>
      </c>
      <c r="F119" s="2">
        <v>52000</v>
      </c>
      <c r="G119" s="1" t="s">
        <v>18</v>
      </c>
      <c r="H119" s="1"/>
      <c r="I119" s="1"/>
    </row>
    <row r="120" spans="1:9" ht="34" x14ac:dyDescent="0.2">
      <c r="A120" s="1">
        <v>2023</v>
      </c>
      <c r="B120" s="22" t="s">
        <v>217</v>
      </c>
      <c r="C120" s="17" t="s">
        <v>216</v>
      </c>
      <c r="D120" s="1">
        <v>9200</v>
      </c>
      <c r="E120" s="1">
        <f>D120*0.6</f>
        <v>5520</v>
      </c>
      <c r="F120" s="2">
        <v>14000</v>
      </c>
      <c r="G120" s="1" t="s">
        <v>40</v>
      </c>
      <c r="H120" s="1"/>
      <c r="I120" s="1"/>
    </row>
    <row r="121" spans="1:9" x14ac:dyDescent="0.2">
      <c r="A121" s="1">
        <v>2018</v>
      </c>
      <c r="B121" s="7" t="s">
        <v>219</v>
      </c>
      <c r="C121" s="7" t="s">
        <v>218</v>
      </c>
      <c r="D121" s="1">
        <v>69827</v>
      </c>
      <c r="E121" s="21">
        <f>D121*0.6</f>
        <v>41896.199999999997</v>
      </c>
      <c r="F121" s="2">
        <v>83000</v>
      </c>
      <c r="G121" s="1" t="s">
        <v>34</v>
      </c>
      <c r="H121" s="1"/>
      <c r="I121" s="1"/>
    </row>
    <row r="122" spans="1:9" x14ac:dyDescent="0.2">
      <c r="A122" s="1">
        <v>2021</v>
      </c>
      <c r="B122" s="1" t="s">
        <v>222</v>
      </c>
      <c r="C122" s="1" t="s">
        <v>223</v>
      </c>
      <c r="D122" s="1">
        <v>123086</v>
      </c>
      <c r="E122" s="21">
        <v>56620</v>
      </c>
      <c r="F122" s="2">
        <v>124000</v>
      </c>
      <c r="G122" s="1" t="s">
        <v>99</v>
      </c>
      <c r="H122" s="1"/>
      <c r="I122" s="1"/>
    </row>
    <row r="123" spans="1:9" x14ac:dyDescent="0.2">
      <c r="A123" s="32" t="s">
        <v>226</v>
      </c>
      <c r="B123" s="32"/>
      <c r="C123" s="32"/>
      <c r="D123" s="32"/>
      <c r="E123" s="4"/>
      <c r="F123" s="4"/>
      <c r="G123" s="4"/>
      <c r="H123" s="4"/>
      <c r="I123" s="4"/>
    </row>
    <row r="124" spans="1:9" x14ac:dyDescent="0.2">
      <c r="A124" s="1">
        <v>2020</v>
      </c>
      <c r="B124" s="5" t="s">
        <v>225</v>
      </c>
      <c r="C124" s="5" t="s">
        <v>224</v>
      </c>
      <c r="D124" s="1">
        <v>13790</v>
      </c>
      <c r="E124" s="1">
        <f>D124*0.85</f>
        <v>11721.5</v>
      </c>
      <c r="F124" s="2">
        <v>29000</v>
      </c>
      <c r="G124" s="1" t="s">
        <v>197</v>
      </c>
      <c r="H124" s="1"/>
      <c r="I124" s="1" t="s">
        <v>54</v>
      </c>
    </row>
    <row r="125" spans="1:9" x14ac:dyDescent="0.2">
      <c r="A125" s="1">
        <v>2023</v>
      </c>
      <c r="B125" s="1" t="s">
        <v>227</v>
      </c>
      <c r="C125" s="1" t="s">
        <v>228</v>
      </c>
      <c r="D125" s="1">
        <v>12590</v>
      </c>
      <c r="E125" s="1">
        <f>D125*0.65</f>
        <v>8183.5</v>
      </c>
      <c r="F125" s="2">
        <v>19500</v>
      </c>
      <c r="G125" s="1" t="s">
        <v>18</v>
      </c>
      <c r="H125" s="1"/>
      <c r="I125" s="1"/>
    </row>
    <row r="126" spans="1:9" x14ac:dyDescent="0.2">
      <c r="A126" s="32" t="s">
        <v>230</v>
      </c>
      <c r="B126" s="32"/>
      <c r="C126" s="32"/>
      <c r="D126" s="32"/>
      <c r="E126" s="4"/>
      <c r="F126" s="4"/>
      <c r="G126" s="4"/>
      <c r="H126" s="4"/>
      <c r="I126" s="4"/>
    </row>
    <row r="127" spans="1:9" x14ac:dyDescent="0.2">
      <c r="A127" s="1">
        <v>2023</v>
      </c>
      <c r="B127" s="17" t="s">
        <v>231</v>
      </c>
      <c r="C127" s="17" t="s">
        <v>232</v>
      </c>
      <c r="D127" s="1">
        <v>17248</v>
      </c>
      <c r="E127" s="1">
        <v>7666</v>
      </c>
      <c r="F127" s="2">
        <v>17500</v>
      </c>
      <c r="G127" s="1" t="s">
        <v>144</v>
      </c>
      <c r="H127" s="1"/>
      <c r="I127" s="1"/>
    </row>
    <row r="128" spans="1:9" x14ac:dyDescent="0.2">
      <c r="A128" s="1">
        <v>2022</v>
      </c>
      <c r="B128" s="17" t="s">
        <v>233</v>
      </c>
      <c r="C128" s="1" t="s">
        <v>234</v>
      </c>
      <c r="D128" s="1">
        <v>14998</v>
      </c>
      <c r="E128" s="1">
        <v>6666</v>
      </c>
      <c r="F128" s="2">
        <v>16000</v>
      </c>
      <c r="G128" s="1" t="s">
        <v>144</v>
      </c>
      <c r="H128" s="1"/>
      <c r="I128" s="1"/>
    </row>
    <row r="129" spans="1:9" x14ac:dyDescent="0.2">
      <c r="A129" s="1">
        <v>2016</v>
      </c>
      <c r="B129" s="5" t="s">
        <v>236</v>
      </c>
      <c r="C129" s="23" t="s">
        <v>235</v>
      </c>
      <c r="D129" s="2">
        <v>66513</v>
      </c>
      <c r="E129" s="1">
        <f>D129*0.6</f>
        <v>39907.799999999996</v>
      </c>
      <c r="F129" s="2">
        <v>78000</v>
      </c>
      <c r="G129" s="1" t="s">
        <v>34</v>
      </c>
      <c r="H129" s="1"/>
      <c r="I129" s="1" t="s">
        <v>237</v>
      </c>
    </row>
    <row r="130" spans="1:9" x14ac:dyDescent="0.2">
      <c r="A130" s="32" t="s">
        <v>238</v>
      </c>
      <c r="B130" s="32"/>
      <c r="C130" s="32"/>
      <c r="D130" s="32"/>
      <c r="E130" s="4"/>
      <c r="F130" s="4"/>
      <c r="G130" s="4"/>
      <c r="H130" s="4"/>
      <c r="I130" s="4"/>
    </row>
    <row r="131" spans="1:9" x14ac:dyDescent="0.2">
      <c r="A131" s="1">
        <v>2012</v>
      </c>
      <c r="B131" s="1" t="s">
        <v>240</v>
      </c>
      <c r="C131" s="7" t="s">
        <v>239</v>
      </c>
      <c r="D131" s="1">
        <v>9292</v>
      </c>
      <c r="E131" s="1">
        <v>4646</v>
      </c>
      <c r="F131" s="2">
        <v>13000</v>
      </c>
      <c r="G131" s="1" t="s">
        <v>144</v>
      </c>
      <c r="H131" s="1"/>
      <c r="I131" s="1"/>
    </row>
    <row r="132" spans="1:9" x14ac:dyDescent="0.2">
      <c r="A132" s="1">
        <v>2021</v>
      </c>
      <c r="B132" s="17" t="s">
        <v>241</v>
      </c>
      <c r="C132" s="1" t="s">
        <v>242</v>
      </c>
      <c r="D132" s="1">
        <v>9972</v>
      </c>
      <c r="E132" s="1">
        <v>4986</v>
      </c>
      <c r="F132" s="1">
        <v>13500</v>
      </c>
      <c r="G132" s="1" t="s">
        <v>144</v>
      </c>
      <c r="H132" s="1"/>
      <c r="I132" s="1"/>
    </row>
    <row r="133" spans="1:9" x14ac:dyDescent="0.2">
      <c r="A133" s="1">
        <v>2019</v>
      </c>
      <c r="B133" s="17" t="s">
        <v>244</v>
      </c>
      <c r="C133" s="17" t="s">
        <v>243</v>
      </c>
      <c r="D133" s="1">
        <v>19998</v>
      </c>
      <c r="E133" s="1">
        <v>8888</v>
      </c>
      <c r="F133" s="1">
        <v>21000</v>
      </c>
      <c r="G133" s="1" t="s">
        <v>144</v>
      </c>
      <c r="H133" s="1"/>
      <c r="I133" s="1"/>
    </row>
    <row r="134" spans="1:9" x14ac:dyDescent="0.2">
      <c r="A134" s="1">
        <v>2018</v>
      </c>
      <c r="B134" s="17" t="s">
        <v>244</v>
      </c>
      <c r="C134" s="7" t="s">
        <v>245</v>
      </c>
      <c r="D134" s="1">
        <v>25748</v>
      </c>
      <c r="E134" s="1">
        <v>11444</v>
      </c>
      <c r="F134" s="1">
        <v>28000</v>
      </c>
      <c r="G134" s="1" t="s">
        <v>144</v>
      </c>
      <c r="H134" s="1"/>
      <c r="I134" s="1"/>
    </row>
    <row r="135" spans="1:9" x14ac:dyDescent="0.2">
      <c r="A135" s="1">
        <v>2014</v>
      </c>
      <c r="B135" s="7" t="s">
        <v>247</v>
      </c>
      <c r="C135" s="7" t="s">
        <v>246</v>
      </c>
      <c r="D135" s="1">
        <v>38248</v>
      </c>
      <c r="E135" s="1">
        <v>16999</v>
      </c>
      <c r="F135" s="1">
        <v>39000</v>
      </c>
      <c r="G135" s="1" t="s">
        <v>144</v>
      </c>
      <c r="H135" s="1"/>
      <c r="I135" s="1"/>
    </row>
    <row r="136" spans="1:9" x14ac:dyDescent="0.2">
      <c r="A136" s="1">
        <v>2004</v>
      </c>
      <c r="B136" s="18" t="s">
        <v>249</v>
      </c>
      <c r="C136" s="18" t="s">
        <v>248</v>
      </c>
      <c r="D136" s="1">
        <v>33900</v>
      </c>
      <c r="E136" s="1">
        <f>D136*0.8</f>
        <v>27120</v>
      </c>
      <c r="F136" s="2">
        <v>54000</v>
      </c>
      <c r="G136" s="1" t="s">
        <v>64</v>
      </c>
      <c r="H136" s="1"/>
      <c r="I136" s="1"/>
    </row>
    <row r="137" spans="1:9" x14ac:dyDescent="0.2">
      <c r="A137" s="1">
        <v>2006</v>
      </c>
      <c r="B137" s="18" t="s">
        <v>250</v>
      </c>
      <c r="C137" s="18" t="s">
        <v>248</v>
      </c>
      <c r="D137" s="1">
        <v>58530</v>
      </c>
      <c r="E137" s="1">
        <f>D137*0.8</f>
        <v>46824</v>
      </c>
      <c r="F137" s="2">
        <v>89000</v>
      </c>
      <c r="G137" s="1" t="s">
        <v>64</v>
      </c>
      <c r="H137" s="1"/>
      <c r="I137" s="1"/>
    </row>
    <row r="138" spans="1:9" x14ac:dyDescent="0.2">
      <c r="A138" s="32" t="s">
        <v>251</v>
      </c>
      <c r="B138" s="32"/>
      <c r="C138" s="32"/>
      <c r="D138" s="32"/>
      <c r="E138" s="4"/>
      <c r="F138" s="4"/>
      <c r="G138" s="4"/>
      <c r="H138" s="4"/>
      <c r="I138" s="4"/>
    </row>
    <row r="139" spans="1:9" x14ac:dyDescent="0.2">
      <c r="A139" s="1">
        <v>2024</v>
      </c>
      <c r="B139" s="1" t="s">
        <v>253</v>
      </c>
      <c r="C139" s="1" t="s">
        <v>252</v>
      </c>
      <c r="D139" s="1">
        <v>7490</v>
      </c>
      <c r="E139" s="1">
        <f>D139*0.6</f>
        <v>4494</v>
      </c>
      <c r="F139" s="1">
        <v>11500</v>
      </c>
      <c r="G139" s="1" t="s">
        <v>29</v>
      </c>
      <c r="H139" s="1"/>
      <c r="I139" s="1" t="s">
        <v>21</v>
      </c>
    </row>
    <row r="140" spans="1:9" x14ac:dyDescent="0.2">
      <c r="A140" s="1">
        <v>2018</v>
      </c>
      <c r="B140" s="5" t="s">
        <v>255</v>
      </c>
      <c r="C140" s="1" t="s">
        <v>254</v>
      </c>
      <c r="D140" s="1">
        <v>25380</v>
      </c>
      <c r="E140" s="1">
        <f>D140*0.6</f>
        <v>15228</v>
      </c>
      <c r="F140" s="1">
        <v>36000</v>
      </c>
      <c r="G140" s="1" t="s">
        <v>40</v>
      </c>
      <c r="H140" s="1"/>
      <c r="I140" s="1"/>
    </row>
    <row r="141" spans="1:9" x14ac:dyDescent="0.2">
      <c r="A141" s="32" t="s">
        <v>278</v>
      </c>
      <c r="B141" s="32"/>
      <c r="C141" s="32"/>
      <c r="D141" s="32"/>
      <c r="E141" s="4"/>
      <c r="F141" s="4"/>
      <c r="G141" s="4"/>
      <c r="H141" s="4"/>
      <c r="I141" s="4"/>
    </row>
    <row r="142" spans="1:9" x14ac:dyDescent="0.2">
      <c r="A142" s="1">
        <v>2020</v>
      </c>
      <c r="B142" s="1" t="s">
        <v>256</v>
      </c>
      <c r="C142" s="1" t="s">
        <v>257</v>
      </c>
      <c r="D142" s="1">
        <v>9220</v>
      </c>
      <c r="E142" s="1">
        <f>D142*0.55</f>
        <v>5071</v>
      </c>
      <c r="F142" s="2">
        <v>14000</v>
      </c>
      <c r="G142" s="1" t="s">
        <v>18</v>
      </c>
      <c r="H142" s="1"/>
      <c r="I142" s="1"/>
    </row>
    <row r="143" spans="1:9" x14ac:dyDescent="0.2">
      <c r="A143" s="1">
        <v>2021</v>
      </c>
      <c r="B143" s="1" t="s">
        <v>259</v>
      </c>
      <c r="C143" s="1" t="s">
        <v>258</v>
      </c>
      <c r="D143" s="1">
        <v>3990</v>
      </c>
      <c r="E143" s="1">
        <f>D143*0.6</f>
        <v>2394</v>
      </c>
      <c r="F143" s="1">
        <v>7500</v>
      </c>
      <c r="G143" s="1" t="s">
        <v>29</v>
      </c>
      <c r="H143" s="1"/>
      <c r="I143" s="1" t="s">
        <v>260</v>
      </c>
    </row>
    <row r="144" spans="1:9" x14ac:dyDescent="0.2">
      <c r="A144" s="1">
        <v>2022</v>
      </c>
      <c r="B144" s="17" t="s">
        <v>262</v>
      </c>
      <c r="C144" s="17" t="s">
        <v>261</v>
      </c>
      <c r="D144" s="1">
        <v>22449</v>
      </c>
      <c r="E144" s="1">
        <f>D144*0.6</f>
        <v>13469.4</v>
      </c>
      <c r="F144" s="2">
        <v>28000</v>
      </c>
      <c r="G144" s="1" t="s">
        <v>34</v>
      </c>
      <c r="H144" s="1"/>
      <c r="I144" s="1"/>
    </row>
    <row r="145" spans="1:9" x14ac:dyDescent="0.2">
      <c r="A145" s="33" t="s">
        <v>376</v>
      </c>
      <c r="B145" s="33"/>
      <c r="C145" s="33"/>
      <c r="D145" s="33"/>
      <c r="E145" s="25"/>
      <c r="F145" s="29"/>
      <c r="G145" s="25"/>
      <c r="H145" s="25"/>
      <c r="I145" s="30"/>
    </row>
    <row r="146" spans="1:9" x14ac:dyDescent="0.2">
      <c r="A146" s="26">
        <v>2023</v>
      </c>
      <c r="B146" s="28" t="s">
        <v>378</v>
      </c>
      <c r="C146" s="31" t="s">
        <v>377</v>
      </c>
      <c r="D146" s="27">
        <v>12000</v>
      </c>
      <c r="E146" s="1">
        <v>6000</v>
      </c>
      <c r="F146" s="2">
        <v>13000</v>
      </c>
      <c r="G146" s="1" t="s">
        <v>175</v>
      </c>
      <c r="H146" s="1"/>
      <c r="I146" s="1"/>
    </row>
    <row r="147" spans="1:9" ht="19" x14ac:dyDescent="0.25">
      <c r="A147" s="40" t="s">
        <v>263</v>
      </c>
      <c r="B147" s="41"/>
      <c r="C147" s="41"/>
      <c r="D147" s="41"/>
      <c r="E147" s="41"/>
      <c r="F147" s="41"/>
      <c r="G147" s="41"/>
      <c r="H147" s="41"/>
      <c r="I147" s="42"/>
    </row>
    <row r="148" spans="1:9" x14ac:dyDescent="0.2">
      <c r="A148" s="32" t="s">
        <v>275</v>
      </c>
      <c r="B148" s="32"/>
      <c r="C148" s="32"/>
      <c r="D148" s="32"/>
      <c r="E148" s="1"/>
      <c r="F148" s="1"/>
      <c r="G148" s="1"/>
      <c r="H148" s="1"/>
      <c r="I148" s="1"/>
    </row>
    <row r="149" spans="1:9" x14ac:dyDescent="0.2">
      <c r="A149" s="1">
        <v>2022</v>
      </c>
      <c r="B149" s="17" t="s">
        <v>265</v>
      </c>
      <c r="C149" s="17" t="s">
        <v>264</v>
      </c>
      <c r="D149" s="1">
        <v>4200</v>
      </c>
      <c r="E149" s="1">
        <f>D149*0.6</f>
        <v>2520</v>
      </c>
      <c r="F149" s="1">
        <v>6500</v>
      </c>
      <c r="G149" s="1" t="s">
        <v>40</v>
      </c>
      <c r="H149" s="1"/>
      <c r="I149" s="1"/>
    </row>
    <row r="150" spans="1:9" x14ac:dyDescent="0.2">
      <c r="A150" s="1">
        <v>2022</v>
      </c>
      <c r="B150" s="18" t="s">
        <v>267</v>
      </c>
      <c r="C150" s="18" t="s">
        <v>266</v>
      </c>
      <c r="D150" s="1">
        <v>36060</v>
      </c>
      <c r="E150" s="1">
        <f>D150*0.8</f>
        <v>28848</v>
      </c>
      <c r="F150" s="2">
        <v>56000</v>
      </c>
      <c r="G150" s="1" t="s">
        <v>64</v>
      </c>
      <c r="H150" s="1"/>
      <c r="I150" s="1"/>
    </row>
    <row r="151" spans="1:9" x14ac:dyDescent="0.2">
      <c r="A151" s="32" t="s">
        <v>276</v>
      </c>
      <c r="B151" s="32"/>
      <c r="C151" s="32"/>
      <c r="D151" s="32"/>
      <c r="E151" s="1"/>
      <c r="F151" s="1"/>
      <c r="G151" s="1"/>
      <c r="H151" s="1"/>
      <c r="I151" s="1"/>
    </row>
    <row r="152" spans="1:9" x14ac:dyDescent="0.2">
      <c r="A152" s="1">
        <v>2023</v>
      </c>
      <c r="B152" s="17" t="s">
        <v>269</v>
      </c>
      <c r="C152" s="1" t="s">
        <v>268</v>
      </c>
      <c r="D152" s="1">
        <v>4740</v>
      </c>
      <c r="E152" s="1">
        <f>D152*0.6</f>
        <v>2844</v>
      </c>
      <c r="F152" s="1">
        <v>7000</v>
      </c>
      <c r="G152" s="1" t="s">
        <v>40</v>
      </c>
      <c r="H152" s="1"/>
      <c r="I152" s="1"/>
    </row>
    <row r="153" spans="1:9" x14ac:dyDescent="0.2">
      <c r="A153" s="33" t="s">
        <v>277</v>
      </c>
      <c r="B153" s="33"/>
      <c r="C153" s="33"/>
      <c r="D153" s="33"/>
      <c r="E153" s="1"/>
      <c r="F153" s="1"/>
      <c r="G153" s="1"/>
      <c r="H153" s="1"/>
      <c r="I153" s="1"/>
    </row>
    <row r="154" spans="1:9" x14ac:dyDescent="0.2">
      <c r="A154" s="1">
        <v>2022</v>
      </c>
      <c r="B154" s="17" t="s">
        <v>271</v>
      </c>
      <c r="C154" s="17" t="s">
        <v>270</v>
      </c>
      <c r="D154" s="1">
        <v>13100</v>
      </c>
      <c r="E154" s="1">
        <f t="shared" ref="E154" si="1">D154*0.6</f>
        <v>7860</v>
      </c>
      <c r="F154" s="1">
        <v>17500</v>
      </c>
      <c r="G154" s="1" t="s">
        <v>40</v>
      </c>
      <c r="H154" s="1"/>
      <c r="I154" s="1"/>
    </row>
    <row r="155" spans="1:9" ht="22" x14ac:dyDescent="0.3">
      <c r="A155" s="39" t="s">
        <v>273</v>
      </c>
      <c r="B155" s="39"/>
      <c r="C155" s="39"/>
      <c r="D155" s="39"/>
      <c r="E155" s="39"/>
      <c r="F155" s="39"/>
      <c r="G155" s="39"/>
      <c r="H155" s="39"/>
      <c r="I155" s="39"/>
    </row>
    <row r="156" spans="1:9" x14ac:dyDescent="0.2">
      <c r="A156" s="32" t="s">
        <v>280</v>
      </c>
      <c r="B156" s="32"/>
      <c r="C156" s="32"/>
      <c r="D156" s="32"/>
      <c r="E156" s="4"/>
      <c r="F156" s="4"/>
      <c r="G156" s="4"/>
      <c r="H156" s="4"/>
      <c r="I156" s="4"/>
    </row>
    <row r="157" spans="1:9" x14ac:dyDescent="0.2">
      <c r="A157" s="1">
        <v>2023</v>
      </c>
      <c r="B157" s="17" t="s">
        <v>279</v>
      </c>
      <c r="C157" s="17" t="s">
        <v>274</v>
      </c>
      <c r="D157" s="1">
        <v>8900</v>
      </c>
      <c r="E157" s="1">
        <f>D157*0.85</f>
        <v>7565</v>
      </c>
      <c r="F157" s="2">
        <v>16000</v>
      </c>
      <c r="G157" s="1" t="s">
        <v>197</v>
      </c>
      <c r="H157" s="1"/>
      <c r="I157" s="1" t="s">
        <v>21</v>
      </c>
    </row>
    <row r="158" spans="1:9" x14ac:dyDescent="0.2">
      <c r="A158" s="1">
        <v>2024</v>
      </c>
      <c r="B158" s="17" t="s">
        <v>281</v>
      </c>
      <c r="C158" s="17" t="s">
        <v>274</v>
      </c>
      <c r="D158" s="1">
        <v>8490</v>
      </c>
      <c r="E158" s="1">
        <f>D158*0.85</f>
        <v>7216.5</v>
      </c>
      <c r="F158" s="2">
        <v>15500</v>
      </c>
      <c r="G158" s="1" t="s">
        <v>197</v>
      </c>
      <c r="H158" s="1"/>
      <c r="I158" s="1" t="s">
        <v>286</v>
      </c>
    </row>
    <row r="159" spans="1:9" x14ac:dyDescent="0.2">
      <c r="A159" s="33" t="s">
        <v>282</v>
      </c>
      <c r="B159" s="33"/>
      <c r="C159" s="33"/>
      <c r="D159" s="33"/>
      <c r="E159" s="1"/>
      <c r="F159" s="1"/>
      <c r="G159" s="1"/>
      <c r="H159" s="1"/>
      <c r="I159" s="1"/>
    </row>
    <row r="160" spans="1:9" x14ac:dyDescent="0.2">
      <c r="A160" s="1">
        <v>2022</v>
      </c>
      <c r="B160" s="1" t="s">
        <v>284</v>
      </c>
      <c r="C160" s="1" t="s">
        <v>283</v>
      </c>
      <c r="D160" s="1">
        <v>3180</v>
      </c>
      <c r="E160" s="1">
        <f>D160*0.7</f>
        <v>2226</v>
      </c>
      <c r="F160" s="1">
        <v>6000</v>
      </c>
      <c r="G160" s="1" t="s">
        <v>18</v>
      </c>
      <c r="H160" s="1"/>
      <c r="I160" s="1"/>
    </row>
    <row r="161" spans="1:9" x14ac:dyDescent="0.2">
      <c r="A161" s="33" t="s">
        <v>285</v>
      </c>
      <c r="B161" s="33"/>
      <c r="C161" s="33"/>
      <c r="D161" s="33"/>
      <c r="E161" s="1"/>
      <c r="F161" s="1"/>
      <c r="G161" s="1"/>
      <c r="H161" s="1"/>
      <c r="I161" s="1"/>
    </row>
    <row r="162" spans="1:9" x14ac:dyDescent="0.2">
      <c r="A162" s="1">
        <v>2024</v>
      </c>
      <c r="B162" s="1" t="s">
        <v>288</v>
      </c>
      <c r="C162" s="1" t="s">
        <v>287</v>
      </c>
      <c r="D162" s="1">
        <v>9490</v>
      </c>
      <c r="E162" s="1">
        <f>D162*0.6</f>
        <v>5694</v>
      </c>
      <c r="F162" s="2">
        <v>13500</v>
      </c>
      <c r="G162" s="1" t="s">
        <v>29</v>
      </c>
      <c r="H162" s="1"/>
      <c r="I162" s="1"/>
    </row>
    <row r="163" spans="1:9" ht="22" x14ac:dyDescent="0.3">
      <c r="A163" s="39" t="s">
        <v>289</v>
      </c>
      <c r="B163" s="39"/>
      <c r="C163" s="39"/>
      <c r="D163" s="39"/>
      <c r="E163" s="39"/>
      <c r="F163" s="39"/>
      <c r="G163" s="39"/>
      <c r="H163" s="39"/>
      <c r="I163" s="39"/>
    </row>
    <row r="164" spans="1:9" x14ac:dyDescent="0.2">
      <c r="A164" s="33" t="s">
        <v>290</v>
      </c>
      <c r="B164" s="33"/>
      <c r="C164" s="33"/>
      <c r="D164" s="33"/>
      <c r="E164" s="1"/>
      <c r="F164" s="1"/>
      <c r="G164" s="1"/>
      <c r="H164" s="1"/>
      <c r="I164" s="1"/>
    </row>
    <row r="165" spans="1:9" x14ac:dyDescent="0.2">
      <c r="A165" s="1">
        <v>2022</v>
      </c>
      <c r="B165" s="1" t="s">
        <v>292</v>
      </c>
      <c r="C165" s="1" t="s">
        <v>291</v>
      </c>
      <c r="D165" s="1">
        <v>9290</v>
      </c>
      <c r="E165" s="1">
        <f>D165*0.6</f>
        <v>5574</v>
      </c>
      <c r="F165" s="2">
        <v>13000</v>
      </c>
      <c r="G165" s="1" t="s">
        <v>29</v>
      </c>
      <c r="H165" s="1"/>
      <c r="I165" s="1"/>
    </row>
    <row r="166" spans="1:9" x14ac:dyDescent="0.2">
      <c r="A166" s="1">
        <v>2019</v>
      </c>
      <c r="B166" s="1" t="s">
        <v>294</v>
      </c>
      <c r="C166" s="1" t="s">
        <v>293</v>
      </c>
      <c r="D166" s="1">
        <v>38590</v>
      </c>
      <c r="E166" s="1">
        <f>D166*0.7</f>
        <v>27013</v>
      </c>
      <c r="F166" s="2">
        <v>56000</v>
      </c>
      <c r="G166" s="1" t="s">
        <v>18</v>
      </c>
      <c r="H166" s="1"/>
      <c r="I166" s="1"/>
    </row>
    <row r="167" spans="1:9" x14ac:dyDescent="0.2">
      <c r="A167" s="1">
        <v>2019</v>
      </c>
      <c r="B167" s="1" t="s">
        <v>295</v>
      </c>
      <c r="C167" s="1" t="s">
        <v>293</v>
      </c>
      <c r="D167" s="1">
        <v>38590</v>
      </c>
      <c r="E167" s="1">
        <f>D167*0.7</f>
        <v>27013</v>
      </c>
      <c r="F167" s="2">
        <v>56000</v>
      </c>
      <c r="G167" s="1" t="s">
        <v>18</v>
      </c>
      <c r="H167" s="1"/>
      <c r="I167" s="1"/>
    </row>
    <row r="168" spans="1:9" x14ac:dyDescent="0.2">
      <c r="A168" s="1">
        <v>2021</v>
      </c>
      <c r="B168" s="5" t="s">
        <v>297</v>
      </c>
      <c r="C168" s="5" t="s">
        <v>296</v>
      </c>
      <c r="D168" s="1">
        <v>17200</v>
      </c>
      <c r="E168" s="1">
        <f>D168*0.6</f>
        <v>10320</v>
      </c>
      <c r="F168" s="2">
        <v>23000</v>
      </c>
      <c r="G168" s="1" t="s">
        <v>40</v>
      </c>
      <c r="H168" s="1"/>
      <c r="I168" s="1"/>
    </row>
    <row r="169" spans="1:9" x14ac:dyDescent="0.2">
      <c r="A169" s="1">
        <v>2019</v>
      </c>
      <c r="B169" s="17" t="s">
        <v>299</v>
      </c>
      <c r="C169" s="17" t="s">
        <v>298</v>
      </c>
      <c r="D169" s="1">
        <v>38401</v>
      </c>
      <c r="E169" s="1">
        <f>D169*0.6</f>
        <v>23040.6</v>
      </c>
      <c r="F169" s="2">
        <v>51000</v>
      </c>
      <c r="G169" s="1" t="s">
        <v>34</v>
      </c>
      <c r="H169" s="1"/>
      <c r="I169" s="1"/>
    </row>
    <row r="170" spans="1:9" x14ac:dyDescent="0.2">
      <c r="A170" s="32" t="s">
        <v>300</v>
      </c>
      <c r="B170" s="32"/>
      <c r="C170" s="32"/>
      <c r="D170" s="32"/>
      <c r="E170" s="4"/>
      <c r="F170" s="4"/>
      <c r="G170" s="4"/>
      <c r="H170" s="4"/>
      <c r="I170" s="4"/>
    </row>
    <row r="171" spans="1:9" x14ac:dyDescent="0.2">
      <c r="A171" s="1">
        <v>2022</v>
      </c>
      <c r="B171" s="1" t="s">
        <v>302</v>
      </c>
      <c r="C171" s="1" t="s">
        <v>301</v>
      </c>
      <c r="D171" s="1">
        <v>5920</v>
      </c>
      <c r="E171" s="1">
        <f>D171*0.8</f>
        <v>4736</v>
      </c>
      <c r="F171" s="2">
        <v>11500</v>
      </c>
      <c r="G171" s="1" t="s">
        <v>14</v>
      </c>
      <c r="H171" s="1"/>
      <c r="I171" s="1"/>
    </row>
    <row r="172" spans="1:9" x14ac:dyDescent="0.2">
      <c r="A172" s="1">
        <v>2020</v>
      </c>
      <c r="B172" s="1" t="s">
        <v>304</v>
      </c>
      <c r="C172" s="1" t="s">
        <v>303</v>
      </c>
      <c r="D172" s="1">
        <v>24160</v>
      </c>
      <c r="E172" s="1">
        <f>D172*0.7</f>
        <v>16912</v>
      </c>
      <c r="F172" s="2">
        <v>36000</v>
      </c>
      <c r="G172" s="1" t="s">
        <v>18</v>
      </c>
      <c r="H172" s="1"/>
      <c r="I172" s="1"/>
    </row>
    <row r="173" spans="1:9" x14ac:dyDescent="0.2">
      <c r="A173" s="1">
        <v>2022</v>
      </c>
      <c r="B173" s="1" t="s">
        <v>306</v>
      </c>
      <c r="C173" s="1" t="s">
        <v>305</v>
      </c>
      <c r="D173" s="1">
        <v>74990</v>
      </c>
      <c r="E173" s="1">
        <f>D173*0.6</f>
        <v>44994</v>
      </c>
      <c r="F173" s="2">
        <v>74000</v>
      </c>
      <c r="G173" s="1" t="s">
        <v>29</v>
      </c>
      <c r="H173" s="1"/>
      <c r="I173" s="1"/>
    </row>
    <row r="174" spans="1:9" x14ac:dyDescent="0.2">
      <c r="A174" s="1">
        <v>2022</v>
      </c>
      <c r="B174" s="1" t="s">
        <v>308</v>
      </c>
      <c r="C174" s="1" t="s">
        <v>307</v>
      </c>
      <c r="D174" s="1">
        <v>8040</v>
      </c>
      <c r="E174" s="1">
        <f>D174*0.55</f>
        <v>4422</v>
      </c>
      <c r="F174" s="2">
        <v>12000</v>
      </c>
      <c r="G174" s="1" t="s">
        <v>18</v>
      </c>
      <c r="H174" s="1"/>
      <c r="I174" s="1"/>
    </row>
    <row r="175" spans="1:9" x14ac:dyDescent="0.2">
      <c r="A175" s="32" t="s">
        <v>309</v>
      </c>
      <c r="B175" s="32"/>
      <c r="C175" s="32"/>
      <c r="D175" s="32"/>
      <c r="E175" s="4"/>
      <c r="F175" s="4"/>
      <c r="G175" s="4"/>
      <c r="H175" s="4"/>
      <c r="I175" s="4"/>
    </row>
    <row r="176" spans="1:9" x14ac:dyDescent="0.2">
      <c r="A176" s="1">
        <v>2022</v>
      </c>
      <c r="B176" s="1" t="s">
        <v>310</v>
      </c>
      <c r="C176" s="1" t="s">
        <v>311</v>
      </c>
      <c r="D176" s="1">
        <v>44290</v>
      </c>
      <c r="E176" s="1">
        <f>D176*0.7</f>
        <v>31002.999999999996</v>
      </c>
      <c r="F176" s="2">
        <v>59000</v>
      </c>
      <c r="G176" s="1" t="s">
        <v>18</v>
      </c>
      <c r="H176" s="1"/>
      <c r="I176" s="1"/>
    </row>
    <row r="177" spans="1:9" x14ac:dyDescent="0.2">
      <c r="A177" s="1">
        <v>2022</v>
      </c>
      <c r="B177" s="17" t="s">
        <v>313</v>
      </c>
      <c r="C177" s="17" t="s">
        <v>312</v>
      </c>
      <c r="D177" s="1">
        <v>20390</v>
      </c>
      <c r="E177" s="1">
        <f>D177*0.85</f>
        <v>17331.5</v>
      </c>
      <c r="F177" s="2">
        <v>36000</v>
      </c>
      <c r="G177" s="1" t="s">
        <v>30</v>
      </c>
      <c r="H177" s="1"/>
      <c r="I177" s="1"/>
    </row>
    <row r="178" spans="1:9" x14ac:dyDescent="0.2">
      <c r="A178" s="33" t="s">
        <v>314</v>
      </c>
      <c r="B178" s="33"/>
      <c r="C178" s="33"/>
      <c r="D178" s="33"/>
      <c r="E178" s="1"/>
      <c r="F178" s="1"/>
      <c r="G178" s="1"/>
      <c r="H178" s="1"/>
      <c r="I178" s="1"/>
    </row>
    <row r="179" spans="1:9" x14ac:dyDescent="0.2">
      <c r="A179" s="1">
        <v>2023</v>
      </c>
      <c r="B179" s="5" t="s">
        <v>316</v>
      </c>
      <c r="C179" s="5" t="s">
        <v>315</v>
      </c>
      <c r="D179" s="1">
        <v>7350</v>
      </c>
      <c r="E179" s="1">
        <f>D179*0.85</f>
        <v>6247.5</v>
      </c>
      <c r="F179" s="2">
        <v>14000</v>
      </c>
      <c r="G179" s="1" t="s">
        <v>30</v>
      </c>
      <c r="H179" s="1"/>
      <c r="I179" s="1" t="s">
        <v>317</v>
      </c>
    </row>
    <row r="180" spans="1:9" x14ac:dyDescent="0.2">
      <c r="A180" s="1">
        <v>2024</v>
      </c>
      <c r="B180" s="1" t="s">
        <v>318</v>
      </c>
      <c r="C180" s="1" t="s">
        <v>319</v>
      </c>
      <c r="D180" s="1">
        <v>5490</v>
      </c>
      <c r="E180" s="1">
        <f>D180*0.65</f>
        <v>3568.5</v>
      </c>
      <c r="F180" s="2">
        <v>9000</v>
      </c>
      <c r="G180" s="1" t="s">
        <v>18</v>
      </c>
      <c r="H180" s="1"/>
      <c r="I180" s="1" t="s">
        <v>286</v>
      </c>
    </row>
    <row r="181" spans="1:9" ht="22" x14ac:dyDescent="0.3">
      <c r="A181" s="39" t="s">
        <v>320</v>
      </c>
      <c r="B181" s="39"/>
      <c r="C181" s="39"/>
      <c r="D181" s="39"/>
      <c r="E181" s="39"/>
      <c r="F181" s="39"/>
      <c r="G181" s="39"/>
      <c r="H181" s="39"/>
      <c r="I181" s="39"/>
    </row>
    <row r="182" spans="1:9" x14ac:dyDescent="0.2">
      <c r="A182" s="32" t="s">
        <v>317</v>
      </c>
      <c r="B182" s="32"/>
      <c r="C182" s="32"/>
      <c r="D182" s="32"/>
      <c r="E182" s="4"/>
      <c r="F182" s="4"/>
      <c r="G182" s="4"/>
      <c r="H182" s="4"/>
      <c r="I182" s="4"/>
    </row>
    <row r="183" spans="1:9" x14ac:dyDescent="0.2">
      <c r="A183" s="1">
        <v>2023</v>
      </c>
      <c r="B183" s="1" t="s">
        <v>322</v>
      </c>
      <c r="C183" s="1" t="s">
        <v>321</v>
      </c>
      <c r="D183" s="1">
        <v>5030</v>
      </c>
      <c r="E183" s="1">
        <f>D183*0.8</f>
        <v>4024</v>
      </c>
      <c r="F183" s="1">
        <v>9500</v>
      </c>
      <c r="G183" s="1" t="s">
        <v>14</v>
      </c>
      <c r="H183" s="1"/>
      <c r="I183" s="1"/>
    </row>
    <row r="184" spans="1:9" x14ac:dyDescent="0.2">
      <c r="A184" s="1">
        <v>2021</v>
      </c>
      <c r="B184" s="5" t="s">
        <v>324</v>
      </c>
      <c r="C184" s="5" t="s">
        <v>323</v>
      </c>
      <c r="D184" s="1">
        <v>1590</v>
      </c>
      <c r="E184" s="21">
        <f>D184*0.85</f>
        <v>1351.5</v>
      </c>
      <c r="F184" s="1">
        <v>3500</v>
      </c>
      <c r="G184" s="1" t="s">
        <v>197</v>
      </c>
      <c r="H184" s="1"/>
      <c r="I184" s="1" t="s">
        <v>327</v>
      </c>
    </row>
    <row r="185" spans="1:9" x14ac:dyDescent="0.2">
      <c r="A185" s="1">
        <v>2023</v>
      </c>
      <c r="B185" s="1" t="s">
        <v>326</v>
      </c>
      <c r="C185" s="1" t="s">
        <v>325</v>
      </c>
      <c r="D185" s="1">
        <v>4950</v>
      </c>
      <c r="E185" s="1">
        <f>D185*0.65</f>
        <v>3217.5</v>
      </c>
      <c r="F185" s="1">
        <v>8000</v>
      </c>
      <c r="G185" s="1" t="s">
        <v>18</v>
      </c>
      <c r="H185" s="1"/>
      <c r="I185" s="1"/>
    </row>
    <row r="186" spans="1:9" x14ac:dyDescent="0.2">
      <c r="A186" s="1">
        <v>2023</v>
      </c>
      <c r="B186" s="1" t="s">
        <v>329</v>
      </c>
      <c r="C186" s="1" t="s">
        <v>328</v>
      </c>
      <c r="D186" s="1">
        <v>2970</v>
      </c>
      <c r="E186" s="1">
        <f>D186*0.65</f>
        <v>1930.5</v>
      </c>
      <c r="F186" s="1">
        <v>5500</v>
      </c>
      <c r="G186" s="1" t="s">
        <v>18</v>
      </c>
      <c r="H186" s="1"/>
      <c r="I186" s="1"/>
    </row>
    <row r="187" spans="1:9" x14ac:dyDescent="0.2">
      <c r="A187" s="33" t="s">
        <v>286</v>
      </c>
      <c r="B187" s="33"/>
      <c r="C187" s="33"/>
      <c r="D187" s="33"/>
      <c r="E187" s="1"/>
      <c r="F187" s="1"/>
      <c r="G187" s="1"/>
      <c r="H187" s="1"/>
      <c r="I187" s="1"/>
    </row>
    <row r="188" spans="1:9" x14ac:dyDescent="0.2">
      <c r="A188" s="1">
        <v>2022</v>
      </c>
      <c r="B188" s="1" t="s">
        <v>330</v>
      </c>
      <c r="C188" s="1" t="s">
        <v>321</v>
      </c>
      <c r="D188" s="1">
        <v>3380</v>
      </c>
      <c r="E188" s="1">
        <f>D188*0.85</f>
        <v>2873</v>
      </c>
      <c r="F188" s="1">
        <v>7500</v>
      </c>
      <c r="G188" s="1" t="s">
        <v>14</v>
      </c>
      <c r="H188" s="1"/>
      <c r="I188" s="1"/>
    </row>
    <row r="189" spans="1:9" x14ac:dyDescent="0.2">
      <c r="A189" s="1">
        <v>2012</v>
      </c>
      <c r="B189" s="1" t="s">
        <v>332</v>
      </c>
      <c r="C189" s="1" t="s">
        <v>331</v>
      </c>
      <c r="D189" s="1">
        <v>11800</v>
      </c>
      <c r="E189" s="1">
        <f>D189*0.6</f>
        <v>7080</v>
      </c>
      <c r="F189" s="2">
        <v>17000</v>
      </c>
      <c r="G189" s="1" t="s">
        <v>40</v>
      </c>
      <c r="H189" s="1"/>
      <c r="I189" s="1"/>
    </row>
    <row r="190" spans="1:9" x14ac:dyDescent="0.2">
      <c r="A190" s="1">
        <v>2021</v>
      </c>
      <c r="B190" s="1" t="s">
        <v>333</v>
      </c>
      <c r="C190" s="1" t="s">
        <v>335</v>
      </c>
      <c r="D190" s="1">
        <v>17100</v>
      </c>
      <c r="E190" s="1">
        <f>D190*0.65</f>
        <v>11115</v>
      </c>
      <c r="F190" s="2">
        <v>24000</v>
      </c>
      <c r="G190" s="1" t="s">
        <v>334</v>
      </c>
      <c r="H190" s="1"/>
      <c r="I190" s="1"/>
    </row>
    <row r="191" spans="1:9" x14ac:dyDescent="0.2">
      <c r="A191" s="1">
        <v>2020</v>
      </c>
      <c r="B191" s="1" t="s">
        <v>337</v>
      </c>
      <c r="C191" s="1" t="s">
        <v>336</v>
      </c>
      <c r="D191" s="1">
        <v>19815</v>
      </c>
      <c r="E191" s="1">
        <f>D191*0.6</f>
        <v>11889</v>
      </c>
      <c r="F191" s="2">
        <v>28000</v>
      </c>
      <c r="G191" s="1" t="s">
        <v>29</v>
      </c>
      <c r="H191" s="1"/>
      <c r="I191" s="1" t="s">
        <v>54</v>
      </c>
    </row>
    <row r="192" spans="1:9" ht="17" x14ac:dyDescent="0.2">
      <c r="A192" s="1">
        <v>2022</v>
      </c>
      <c r="B192" s="1" t="s">
        <v>338</v>
      </c>
      <c r="C192" s="20" t="s">
        <v>325</v>
      </c>
      <c r="D192" s="1">
        <v>16900</v>
      </c>
      <c r="E192" s="1">
        <f>D192*0.65</f>
        <v>10985</v>
      </c>
      <c r="F192" s="2">
        <v>27000</v>
      </c>
      <c r="G192" s="1" t="s">
        <v>334</v>
      </c>
      <c r="H192" s="1"/>
      <c r="I192" s="1"/>
    </row>
    <row r="193" spans="1:9" ht="22" x14ac:dyDescent="0.3">
      <c r="A193" s="39" t="s">
        <v>339</v>
      </c>
      <c r="B193" s="39"/>
      <c r="C193" s="39"/>
      <c r="D193" s="39"/>
      <c r="E193" s="39"/>
      <c r="F193" s="39"/>
      <c r="G193" s="39"/>
      <c r="H193" s="39"/>
      <c r="I193" s="39"/>
    </row>
    <row r="194" spans="1:9" x14ac:dyDescent="0.2">
      <c r="A194" s="32" t="s">
        <v>317</v>
      </c>
      <c r="B194" s="32"/>
      <c r="C194" s="32"/>
      <c r="D194" s="32"/>
      <c r="E194" s="4"/>
      <c r="F194" s="4"/>
      <c r="G194" s="4"/>
      <c r="H194" s="4"/>
      <c r="I194" s="4"/>
    </row>
    <row r="195" spans="1:9" x14ac:dyDescent="0.2">
      <c r="A195" s="1">
        <v>2024</v>
      </c>
      <c r="B195" s="1" t="s">
        <v>341</v>
      </c>
      <c r="C195" s="1" t="s">
        <v>340</v>
      </c>
      <c r="D195" s="1">
        <v>5338</v>
      </c>
      <c r="E195" s="1">
        <v>2456</v>
      </c>
      <c r="F195" s="2">
        <v>6500</v>
      </c>
      <c r="G195" s="1" t="s">
        <v>99</v>
      </c>
      <c r="H195" s="1"/>
      <c r="I195" s="1"/>
    </row>
    <row r="196" spans="1:9" x14ac:dyDescent="0.2">
      <c r="A196" s="1">
        <v>2023</v>
      </c>
      <c r="B196" s="7" t="s">
        <v>342</v>
      </c>
      <c r="C196" s="1" t="s">
        <v>343</v>
      </c>
      <c r="D196" s="1">
        <v>4490</v>
      </c>
      <c r="E196" s="1">
        <f>D196*0.6</f>
        <v>2694</v>
      </c>
      <c r="F196" s="2">
        <v>7000</v>
      </c>
      <c r="G196" s="1" t="s">
        <v>29</v>
      </c>
      <c r="H196" s="1"/>
      <c r="I196" s="1"/>
    </row>
    <row r="197" spans="1:9" x14ac:dyDescent="0.2">
      <c r="A197" s="1">
        <v>2021</v>
      </c>
      <c r="B197" s="1" t="s">
        <v>345</v>
      </c>
      <c r="C197" s="1" t="s">
        <v>344</v>
      </c>
      <c r="D197" s="1">
        <v>5790</v>
      </c>
      <c r="E197" s="1">
        <f>D197*0.6</f>
        <v>3474</v>
      </c>
      <c r="F197" s="2">
        <v>8500</v>
      </c>
      <c r="G197" s="1" t="s">
        <v>29</v>
      </c>
      <c r="H197" s="1"/>
      <c r="I197" s="1"/>
    </row>
    <row r="198" spans="1:9" x14ac:dyDescent="0.2">
      <c r="A198" s="1">
        <v>2023</v>
      </c>
      <c r="B198" s="1" t="s">
        <v>346</v>
      </c>
      <c r="C198" s="1" t="s">
        <v>347</v>
      </c>
      <c r="D198" s="1">
        <v>5200</v>
      </c>
      <c r="E198" s="1">
        <v>5200</v>
      </c>
      <c r="F198" s="2">
        <v>12000</v>
      </c>
      <c r="G198" s="1" t="s">
        <v>348</v>
      </c>
      <c r="H198" s="1"/>
      <c r="I198" s="1"/>
    </row>
    <row r="199" spans="1:9" x14ac:dyDescent="0.2">
      <c r="A199" s="33" t="s">
        <v>286</v>
      </c>
      <c r="B199" s="33"/>
      <c r="C199" s="33"/>
      <c r="D199" s="33"/>
      <c r="E199" s="1"/>
      <c r="F199" s="1"/>
      <c r="G199" s="1"/>
      <c r="H199" s="1"/>
      <c r="I199" s="1"/>
    </row>
    <row r="200" spans="1:9" x14ac:dyDescent="0.2">
      <c r="A200" s="1">
        <v>2022</v>
      </c>
      <c r="B200" s="1" t="s">
        <v>349</v>
      </c>
      <c r="C200" s="1" t="s">
        <v>347</v>
      </c>
      <c r="D200" s="1">
        <v>7150</v>
      </c>
      <c r="E200" s="1">
        <v>7150</v>
      </c>
      <c r="F200" s="2">
        <v>15000</v>
      </c>
      <c r="G200" s="1" t="s">
        <v>348</v>
      </c>
      <c r="H200" s="1"/>
      <c r="I200" s="1"/>
    </row>
    <row r="201" spans="1:9" x14ac:dyDescent="0.2">
      <c r="A201" s="1">
        <v>2020</v>
      </c>
      <c r="B201" s="24" t="s">
        <v>350</v>
      </c>
      <c r="C201" s="1" t="s">
        <v>351</v>
      </c>
      <c r="D201" s="1">
        <v>5290</v>
      </c>
      <c r="E201" s="1">
        <v>2673</v>
      </c>
      <c r="F201" s="2">
        <v>7000</v>
      </c>
      <c r="G201" s="1" t="s">
        <v>144</v>
      </c>
      <c r="H201" s="1"/>
      <c r="I201" s="1"/>
    </row>
    <row r="202" spans="1:9" x14ac:dyDescent="0.2">
      <c r="A202" s="1">
        <v>2022</v>
      </c>
      <c r="B202" s="5" t="s">
        <v>353</v>
      </c>
      <c r="C202" s="5" t="s">
        <v>352</v>
      </c>
      <c r="D202" s="1">
        <v>2400</v>
      </c>
      <c r="E202" s="1">
        <f>D202*0.85</f>
        <v>2040</v>
      </c>
      <c r="F202" s="2">
        <v>6500</v>
      </c>
      <c r="G202" s="1" t="s">
        <v>197</v>
      </c>
      <c r="H202" s="1"/>
      <c r="I202" s="1"/>
    </row>
    <row r="203" spans="1:9" x14ac:dyDescent="0.2">
      <c r="A203" s="1">
        <v>2022</v>
      </c>
      <c r="B203" s="1" t="s">
        <v>354</v>
      </c>
      <c r="C203" s="1" t="s">
        <v>343</v>
      </c>
      <c r="D203" s="1">
        <v>8990</v>
      </c>
      <c r="E203" s="1">
        <f>D203*0.6</f>
        <v>5394</v>
      </c>
      <c r="F203" s="2">
        <v>13000</v>
      </c>
      <c r="G203" s="1" t="s">
        <v>29</v>
      </c>
      <c r="H203" s="1"/>
      <c r="I203" s="1"/>
    </row>
    <row r="204" spans="1:9" ht="22" x14ac:dyDescent="0.3">
      <c r="A204" s="39" t="s">
        <v>355</v>
      </c>
      <c r="B204" s="39"/>
      <c r="C204" s="39"/>
      <c r="D204" s="39"/>
      <c r="E204" s="39"/>
      <c r="F204" s="39"/>
      <c r="G204" s="39"/>
      <c r="H204" s="39"/>
      <c r="I204" s="39"/>
    </row>
    <row r="205" spans="1:9" x14ac:dyDescent="0.2">
      <c r="A205" s="1">
        <v>2018</v>
      </c>
      <c r="B205" s="6" t="s">
        <v>357</v>
      </c>
      <c r="C205" s="1" t="s">
        <v>356</v>
      </c>
      <c r="D205" s="1">
        <v>13838</v>
      </c>
      <c r="E205" s="1">
        <f>D205*0.6</f>
        <v>8302.7999999999993</v>
      </c>
      <c r="F205" s="2">
        <v>19000</v>
      </c>
      <c r="G205" s="1" t="s">
        <v>34</v>
      </c>
      <c r="H205" s="1"/>
      <c r="I205" s="1" t="s">
        <v>362</v>
      </c>
    </row>
    <row r="206" spans="1:9" x14ac:dyDescent="0.2">
      <c r="A206" s="1">
        <v>2019</v>
      </c>
      <c r="B206" s="17" t="s">
        <v>359</v>
      </c>
      <c r="C206" s="17" t="s">
        <v>358</v>
      </c>
      <c r="D206" s="1"/>
      <c r="E206" s="1">
        <v>18444</v>
      </c>
      <c r="F206" s="2">
        <v>38000</v>
      </c>
      <c r="G206" s="1" t="s">
        <v>144</v>
      </c>
      <c r="H206" s="1"/>
      <c r="I206" s="1" t="s">
        <v>362</v>
      </c>
    </row>
    <row r="207" spans="1:9" x14ac:dyDescent="0.2">
      <c r="A207" s="1">
        <v>2020</v>
      </c>
      <c r="B207" s="23" t="s">
        <v>361</v>
      </c>
      <c r="C207" s="23" t="s">
        <v>360</v>
      </c>
      <c r="D207" s="1">
        <v>29546</v>
      </c>
      <c r="E207" s="1">
        <f>D207*0.6</f>
        <v>17727.599999999999</v>
      </c>
      <c r="F207" s="2">
        <v>36000</v>
      </c>
      <c r="G207" s="1" t="s">
        <v>34</v>
      </c>
      <c r="H207" s="1"/>
      <c r="I207" s="1" t="s">
        <v>362</v>
      </c>
    </row>
    <row r="208" spans="1:9" x14ac:dyDescent="0.2">
      <c r="A208" s="1">
        <v>2016</v>
      </c>
      <c r="B208" s="1" t="s">
        <v>364</v>
      </c>
      <c r="C208" s="7" t="s">
        <v>363</v>
      </c>
      <c r="D208" s="1"/>
      <c r="E208" s="1">
        <v>19666</v>
      </c>
      <c r="F208" s="2">
        <v>42000</v>
      </c>
      <c r="G208" s="1" t="s">
        <v>144</v>
      </c>
      <c r="H208" s="1"/>
      <c r="I208" s="1" t="s">
        <v>365</v>
      </c>
    </row>
    <row r="209" spans="1:9" ht="17" x14ac:dyDescent="0.2">
      <c r="A209" s="1">
        <v>2023</v>
      </c>
      <c r="B209" s="1" t="s">
        <v>367</v>
      </c>
      <c r="C209" s="20" t="s">
        <v>366</v>
      </c>
      <c r="D209" s="1">
        <v>2600</v>
      </c>
      <c r="E209" s="1">
        <f>D209*0.65</f>
        <v>1690</v>
      </c>
      <c r="F209" s="2">
        <v>6000</v>
      </c>
      <c r="G209" s="1" t="s">
        <v>18</v>
      </c>
      <c r="H209" s="1"/>
      <c r="I209" s="1" t="s">
        <v>368</v>
      </c>
    </row>
    <row r="210" spans="1:9" ht="17" x14ac:dyDescent="0.2">
      <c r="A210" s="1">
        <v>2022</v>
      </c>
      <c r="B210" s="1" t="s">
        <v>369</v>
      </c>
      <c r="C210" s="20" t="s">
        <v>366</v>
      </c>
      <c r="D210" s="1">
        <v>43800</v>
      </c>
      <c r="E210" s="1">
        <f>D210*0.65</f>
        <v>28470</v>
      </c>
      <c r="F210" s="2">
        <v>59000</v>
      </c>
      <c r="G210" s="1" t="s">
        <v>18</v>
      </c>
      <c r="H210" s="1" t="s">
        <v>54</v>
      </c>
      <c r="I210" s="1" t="s">
        <v>368</v>
      </c>
    </row>
    <row r="211" spans="1:9" x14ac:dyDescent="0.2">
      <c r="A211" s="1">
        <v>2024</v>
      </c>
      <c r="B211" s="1" t="s">
        <v>371</v>
      </c>
      <c r="C211" s="1" t="s">
        <v>370</v>
      </c>
      <c r="D211" s="1">
        <v>3990</v>
      </c>
      <c r="E211" s="1">
        <f>D211*0.6</f>
        <v>2394</v>
      </c>
      <c r="F211" s="2">
        <v>6500</v>
      </c>
      <c r="G211" s="1" t="s">
        <v>29</v>
      </c>
      <c r="H211" s="1"/>
      <c r="I211" s="1" t="s">
        <v>372</v>
      </c>
    </row>
    <row r="212" spans="1:9" x14ac:dyDescent="0.2">
      <c r="A212" s="1">
        <v>2021</v>
      </c>
      <c r="B212" s="1" t="s">
        <v>374</v>
      </c>
      <c r="C212" s="1" t="s">
        <v>373</v>
      </c>
      <c r="D212" s="1">
        <v>23670</v>
      </c>
      <c r="E212" s="21">
        <f>D212*0.65</f>
        <v>15385.5</v>
      </c>
      <c r="F212" s="2">
        <v>33000</v>
      </c>
      <c r="G212" s="1" t="s">
        <v>18</v>
      </c>
      <c r="H212" s="1" t="s">
        <v>375</v>
      </c>
      <c r="I212" s="1" t="s">
        <v>372</v>
      </c>
    </row>
  </sheetData>
  <autoFilter ref="A1:I155" xr:uid="{DC420642-0E5A-474B-ACC5-4629417673CA}">
    <filterColumn colId="0" showButton="0"/>
    <filterColumn colId="1" showButton="0"/>
    <filterColumn colId="2" showButton="0"/>
  </autoFilter>
  <mergeCells count="41">
    <mergeCell ref="A204:I204"/>
    <mergeCell ref="A181:I181"/>
    <mergeCell ref="A182:D182"/>
    <mergeCell ref="A187:D187"/>
    <mergeCell ref="A193:I193"/>
    <mergeCell ref="A194:D194"/>
    <mergeCell ref="A199:D199"/>
    <mergeCell ref="A161:D161"/>
    <mergeCell ref="A163:I163"/>
    <mergeCell ref="A164:D164"/>
    <mergeCell ref="A170:D170"/>
    <mergeCell ref="A175:D175"/>
    <mergeCell ref="A178:D178"/>
    <mergeCell ref="A34:I34"/>
    <mergeCell ref="A147:I147"/>
    <mergeCell ref="A155:I155"/>
    <mergeCell ref="A156:D156"/>
    <mergeCell ref="A159:D159"/>
    <mergeCell ref="A138:D138"/>
    <mergeCell ref="A141:D141"/>
    <mergeCell ref="A148:D148"/>
    <mergeCell ref="A151:D151"/>
    <mergeCell ref="A153:D153"/>
    <mergeCell ref="A100:D100"/>
    <mergeCell ref="A102:D102"/>
    <mergeCell ref="A113:D113"/>
    <mergeCell ref="A123:D123"/>
    <mergeCell ref="A126:D126"/>
    <mergeCell ref="A25:D25"/>
    <mergeCell ref="A145:D145"/>
    <mergeCell ref="A1:D1"/>
    <mergeCell ref="A2:D2"/>
    <mergeCell ref="A9:D9"/>
    <mergeCell ref="A15:D15"/>
    <mergeCell ref="A18:D18"/>
    <mergeCell ref="A130:D130"/>
    <mergeCell ref="A35:D35"/>
    <mergeCell ref="A60:D60"/>
    <mergeCell ref="A90:D90"/>
    <mergeCell ref="A94:D94"/>
    <mergeCell ref="A98:D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2026-05-07T08:53:58Z</dcterms:created>
  <dcterms:modified xsi:type="dcterms:W3CDTF">2026-05-20T20:00:06Z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2026-05-07T09:43:45Z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984ca5fb-4859-4431-bf96-505eb71f698d</vt:lpwstr>
  </property>
  <property fmtid="{D5CDD505-2E9C-101B-9397-08002B2CF9AE}" pid="7" name="MSIP_Label_defa4170-0d19-0005-0004-bc88714345d2_ActionId">
    <vt:lpwstr>988b89b9-ca98-4805-89ff-ba487d16f8ee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